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G:\My Drive\1. AZLINA_2024\1. PASCASISWAZAH\SURAT\"/>
    </mc:Choice>
  </mc:AlternateContent>
  <xr:revisionPtr revIDLastSave="0" documentId="13_ncr:1_{3FE9E8CD-6D61-4019-BF50-500A4FAFD4B0}" xr6:coauthVersionLast="47" xr6:coauthVersionMax="47" xr10:uidLastSave="{00000000-0000-0000-0000-000000000000}"/>
  <bookViews>
    <workbookView xWindow="-120" yWindow="-120" windowWidth="29040" windowHeight="15720" xr2:uid="{00000000-000D-0000-FFFF-FFFF00000000}"/>
  </bookViews>
  <sheets>
    <sheet name="DATA_SURAT_PELANTIKAN" sheetId="1" r:id="rId1"/>
    <sheet name="KEKERAPAN " sheetId="2" r:id="rId2"/>
  </sheets>
  <definedNames>
    <definedName name="_xlnm._FilterDatabase" localSheetId="0" hidden="1">DATA_SURAT_PELANTIKAN!$A$1:$AK$133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95" i="2" l="1"/>
  <c r="K96" i="2"/>
  <c r="K97" i="2"/>
  <c r="K98" i="2"/>
  <c r="K99" i="2"/>
  <c r="K100" i="2"/>
  <c r="J95" i="2"/>
  <c r="J96" i="2"/>
  <c r="J97" i="2"/>
  <c r="J98" i="2"/>
  <c r="J99" i="2"/>
  <c r="J100" i="2"/>
  <c r="I95" i="2"/>
  <c r="I96" i="2"/>
  <c r="I97" i="2"/>
  <c r="I98" i="2"/>
  <c r="I99" i="2"/>
  <c r="I100" i="2"/>
  <c r="H95" i="2"/>
  <c r="H96" i="2"/>
  <c r="H97" i="2"/>
  <c r="H98" i="2"/>
  <c r="H99" i="2"/>
  <c r="H100" i="2"/>
  <c r="F95" i="2"/>
  <c r="F96" i="2"/>
  <c r="F97" i="2"/>
  <c r="F98" i="2"/>
  <c r="F99" i="2"/>
  <c r="F100" i="2"/>
  <c r="E95" i="2"/>
  <c r="E96" i="2"/>
  <c r="E97" i="2"/>
  <c r="E98" i="2"/>
  <c r="E99" i="2"/>
  <c r="E100" i="2"/>
  <c r="D95" i="2"/>
  <c r="D96" i="2"/>
  <c r="D97" i="2"/>
  <c r="D98" i="2"/>
  <c r="D99" i="2"/>
  <c r="D100" i="2"/>
  <c r="C95" i="2"/>
  <c r="C96" i="2"/>
  <c r="C97" i="2"/>
  <c r="C98" i="2"/>
  <c r="C99" i="2"/>
  <c r="C100" i="2"/>
  <c r="K93" i="2"/>
  <c r="K94" i="2"/>
  <c r="J93" i="2"/>
  <c r="J94" i="2"/>
  <c r="I93" i="2"/>
  <c r="I94" i="2"/>
  <c r="H93" i="2"/>
  <c r="H94" i="2"/>
  <c r="F93" i="2"/>
  <c r="F94" i="2"/>
  <c r="E93" i="2"/>
  <c r="E94" i="2"/>
  <c r="D93" i="2"/>
  <c r="D94" i="2"/>
  <c r="C93" i="2"/>
  <c r="C94" i="2"/>
  <c r="K92" i="2"/>
  <c r="J92" i="2"/>
  <c r="I92" i="2"/>
  <c r="H92" i="2"/>
  <c r="F92" i="2"/>
  <c r="E92" i="2"/>
  <c r="D92" i="2"/>
  <c r="C92" i="2"/>
  <c r="K91" i="2"/>
  <c r="J91" i="2"/>
  <c r="I91" i="2"/>
  <c r="H91" i="2"/>
  <c r="F91" i="2"/>
  <c r="E91" i="2"/>
  <c r="D91" i="2"/>
  <c r="C91" i="2"/>
  <c r="K90" i="2"/>
  <c r="J90" i="2"/>
  <c r="I90" i="2"/>
  <c r="H90" i="2"/>
  <c r="F90" i="2"/>
  <c r="E90" i="2"/>
  <c r="D90" i="2"/>
  <c r="C90" i="2"/>
  <c r="K89" i="2"/>
  <c r="J89" i="2"/>
  <c r="I89" i="2"/>
  <c r="H89" i="2"/>
  <c r="F89" i="2"/>
  <c r="E89" i="2"/>
  <c r="D89" i="2"/>
  <c r="C89" i="2"/>
  <c r="K88" i="2"/>
  <c r="J88" i="2"/>
  <c r="I88" i="2"/>
  <c r="H88" i="2"/>
  <c r="F88" i="2"/>
  <c r="E88" i="2"/>
  <c r="D88" i="2"/>
  <c r="C88" i="2"/>
  <c r="K87" i="2"/>
  <c r="J87" i="2"/>
  <c r="I87" i="2"/>
  <c r="H87" i="2"/>
  <c r="F87" i="2"/>
  <c r="E87" i="2"/>
  <c r="D87" i="2"/>
  <c r="C87" i="2"/>
  <c r="K86" i="2"/>
  <c r="J86" i="2"/>
  <c r="I86" i="2"/>
  <c r="H86" i="2"/>
  <c r="F86" i="2"/>
  <c r="E86" i="2"/>
  <c r="D86" i="2"/>
  <c r="C86" i="2"/>
  <c r="K85" i="2"/>
  <c r="J85" i="2"/>
  <c r="I85" i="2"/>
  <c r="H85" i="2"/>
  <c r="F85" i="2"/>
  <c r="E85" i="2"/>
  <c r="D85" i="2"/>
  <c r="C85" i="2"/>
  <c r="K84" i="2"/>
  <c r="J84" i="2"/>
  <c r="I84" i="2"/>
  <c r="H84" i="2"/>
  <c r="F84" i="2"/>
  <c r="E84" i="2"/>
  <c r="D84" i="2"/>
  <c r="C84" i="2"/>
  <c r="K83" i="2"/>
  <c r="J83" i="2"/>
  <c r="I83" i="2"/>
  <c r="H83" i="2"/>
  <c r="F83" i="2"/>
  <c r="E83" i="2"/>
  <c r="D83" i="2"/>
  <c r="C83" i="2"/>
  <c r="K82" i="2"/>
  <c r="J82" i="2"/>
  <c r="I82" i="2"/>
  <c r="H82" i="2"/>
  <c r="F82" i="2"/>
  <c r="E82" i="2"/>
  <c r="D82" i="2"/>
  <c r="C82" i="2"/>
  <c r="K81" i="2"/>
  <c r="J81" i="2"/>
  <c r="I81" i="2"/>
  <c r="H81" i="2"/>
  <c r="F81" i="2"/>
  <c r="E81" i="2"/>
  <c r="D81" i="2"/>
  <c r="C81" i="2"/>
  <c r="K80" i="2"/>
  <c r="J80" i="2"/>
  <c r="I80" i="2"/>
  <c r="H80" i="2"/>
  <c r="F80" i="2"/>
  <c r="E80" i="2"/>
  <c r="D80" i="2"/>
  <c r="C80" i="2"/>
  <c r="K79" i="2"/>
  <c r="J79" i="2"/>
  <c r="I79" i="2"/>
  <c r="H79" i="2"/>
  <c r="F79" i="2"/>
  <c r="E79" i="2"/>
  <c r="D79" i="2"/>
  <c r="C79" i="2"/>
  <c r="K78" i="2"/>
  <c r="J78" i="2"/>
  <c r="I78" i="2"/>
  <c r="H78" i="2"/>
  <c r="F78" i="2"/>
  <c r="E78" i="2"/>
  <c r="D78" i="2"/>
  <c r="C78" i="2"/>
  <c r="K77" i="2"/>
  <c r="J77" i="2"/>
  <c r="I77" i="2"/>
  <c r="H77" i="2"/>
  <c r="F77" i="2"/>
  <c r="E77" i="2"/>
  <c r="D77" i="2"/>
  <c r="C77" i="2"/>
  <c r="K76" i="2"/>
  <c r="J76" i="2"/>
  <c r="I76" i="2"/>
  <c r="H76" i="2"/>
  <c r="F76" i="2"/>
  <c r="E76" i="2"/>
  <c r="D76" i="2"/>
  <c r="C76" i="2"/>
  <c r="K75" i="2"/>
  <c r="J75" i="2"/>
  <c r="I75" i="2"/>
  <c r="H75" i="2"/>
  <c r="F75" i="2"/>
  <c r="E75" i="2"/>
  <c r="D75" i="2"/>
  <c r="C75" i="2"/>
  <c r="K74" i="2"/>
  <c r="J74" i="2"/>
  <c r="I74" i="2"/>
  <c r="H74" i="2"/>
  <c r="F74" i="2"/>
  <c r="E74" i="2"/>
  <c r="D74" i="2"/>
  <c r="C74" i="2"/>
  <c r="K73" i="2"/>
  <c r="J73" i="2"/>
  <c r="I73" i="2"/>
  <c r="H73" i="2"/>
  <c r="F73" i="2"/>
  <c r="E73" i="2"/>
  <c r="D73" i="2"/>
  <c r="C73" i="2"/>
  <c r="K72" i="2"/>
  <c r="J72" i="2"/>
  <c r="I72" i="2"/>
  <c r="H72" i="2"/>
  <c r="F72" i="2"/>
  <c r="E72" i="2"/>
  <c r="D72" i="2"/>
  <c r="C72" i="2"/>
  <c r="K71" i="2"/>
  <c r="J71" i="2"/>
  <c r="I71" i="2"/>
  <c r="H71" i="2"/>
  <c r="F71" i="2"/>
  <c r="E71" i="2"/>
  <c r="D71" i="2"/>
  <c r="C71" i="2"/>
  <c r="K70" i="2"/>
  <c r="J70" i="2"/>
  <c r="I70" i="2"/>
  <c r="H70" i="2"/>
  <c r="F70" i="2"/>
  <c r="E70" i="2"/>
  <c r="D70" i="2"/>
  <c r="C70" i="2"/>
  <c r="K69" i="2"/>
  <c r="J69" i="2"/>
  <c r="I69" i="2"/>
  <c r="H69" i="2"/>
  <c r="F69" i="2"/>
  <c r="E69" i="2"/>
  <c r="D69" i="2"/>
  <c r="C69" i="2"/>
  <c r="K68" i="2"/>
  <c r="J68" i="2"/>
  <c r="I68" i="2"/>
  <c r="H68" i="2"/>
  <c r="F68" i="2"/>
  <c r="E68" i="2"/>
  <c r="D68" i="2"/>
  <c r="C68" i="2"/>
  <c r="K67" i="2"/>
  <c r="J67" i="2"/>
  <c r="I67" i="2"/>
  <c r="H67" i="2"/>
  <c r="F67" i="2"/>
  <c r="E67" i="2"/>
  <c r="D67" i="2"/>
  <c r="C67" i="2"/>
  <c r="K66" i="2"/>
  <c r="J66" i="2"/>
  <c r="I66" i="2"/>
  <c r="H66" i="2"/>
  <c r="F66" i="2"/>
  <c r="E66" i="2"/>
  <c r="D66" i="2"/>
  <c r="C66" i="2"/>
  <c r="K65" i="2"/>
  <c r="J65" i="2"/>
  <c r="I65" i="2"/>
  <c r="H65" i="2"/>
  <c r="F65" i="2"/>
  <c r="E65" i="2"/>
  <c r="D65" i="2"/>
  <c r="C65" i="2"/>
  <c r="K64" i="2"/>
  <c r="J64" i="2"/>
  <c r="I64" i="2"/>
  <c r="H64" i="2"/>
  <c r="F64" i="2"/>
  <c r="E64" i="2"/>
  <c r="D64" i="2"/>
  <c r="C64" i="2"/>
  <c r="K63" i="2"/>
  <c r="J63" i="2"/>
  <c r="I63" i="2"/>
  <c r="H63" i="2"/>
  <c r="F63" i="2"/>
  <c r="E63" i="2"/>
  <c r="D63" i="2"/>
  <c r="C63" i="2"/>
  <c r="K62" i="2"/>
  <c r="J62" i="2"/>
  <c r="I62" i="2"/>
  <c r="H62" i="2"/>
  <c r="F62" i="2"/>
  <c r="E62" i="2"/>
  <c r="D62" i="2"/>
  <c r="C62" i="2"/>
  <c r="K61" i="2"/>
  <c r="J61" i="2"/>
  <c r="I61" i="2"/>
  <c r="H61" i="2"/>
  <c r="F61" i="2"/>
  <c r="E61" i="2"/>
  <c r="D61" i="2"/>
  <c r="C61" i="2"/>
  <c r="K60" i="2"/>
  <c r="J60" i="2"/>
  <c r="I60" i="2"/>
  <c r="H60" i="2"/>
  <c r="F60" i="2"/>
  <c r="E60" i="2"/>
  <c r="D60" i="2"/>
  <c r="C60" i="2"/>
  <c r="K59" i="2"/>
  <c r="J59" i="2"/>
  <c r="I59" i="2"/>
  <c r="H59" i="2"/>
  <c r="F59" i="2"/>
  <c r="E59" i="2"/>
  <c r="D59" i="2"/>
  <c r="C59" i="2"/>
  <c r="K58" i="2"/>
  <c r="J58" i="2"/>
  <c r="I58" i="2"/>
  <c r="H58" i="2"/>
  <c r="F58" i="2"/>
  <c r="E58" i="2"/>
  <c r="D58" i="2"/>
  <c r="C58" i="2"/>
  <c r="K57" i="2"/>
  <c r="J57" i="2"/>
  <c r="I57" i="2"/>
  <c r="H57" i="2"/>
  <c r="F57" i="2"/>
  <c r="E57" i="2"/>
  <c r="D57" i="2"/>
  <c r="C57" i="2"/>
  <c r="K56" i="2"/>
  <c r="J56" i="2"/>
  <c r="I56" i="2"/>
  <c r="H56" i="2"/>
  <c r="F56" i="2"/>
  <c r="E56" i="2"/>
  <c r="D56" i="2"/>
  <c r="C56" i="2"/>
  <c r="K55" i="2"/>
  <c r="J55" i="2"/>
  <c r="I55" i="2"/>
  <c r="H55" i="2"/>
  <c r="F55" i="2"/>
  <c r="E55" i="2"/>
  <c r="D55" i="2"/>
  <c r="C55" i="2"/>
  <c r="K54" i="2"/>
  <c r="J54" i="2"/>
  <c r="I54" i="2"/>
  <c r="H54" i="2"/>
  <c r="F54" i="2"/>
  <c r="E54" i="2"/>
  <c r="D54" i="2"/>
  <c r="C54" i="2"/>
  <c r="K53" i="2"/>
  <c r="J53" i="2"/>
  <c r="I53" i="2"/>
  <c r="H53" i="2"/>
  <c r="F53" i="2"/>
  <c r="E53" i="2"/>
  <c r="D53" i="2"/>
  <c r="C53" i="2"/>
  <c r="K52" i="2"/>
  <c r="J52" i="2"/>
  <c r="I52" i="2"/>
  <c r="H52" i="2"/>
  <c r="F52" i="2"/>
  <c r="E52" i="2"/>
  <c r="D52" i="2"/>
  <c r="C52" i="2"/>
  <c r="K51" i="2"/>
  <c r="J51" i="2"/>
  <c r="I51" i="2"/>
  <c r="H51" i="2"/>
  <c r="F51" i="2"/>
  <c r="E51" i="2"/>
  <c r="D51" i="2"/>
  <c r="C51" i="2"/>
  <c r="K50" i="2"/>
  <c r="J50" i="2"/>
  <c r="I50" i="2"/>
  <c r="H50" i="2"/>
  <c r="F50" i="2"/>
  <c r="E50" i="2"/>
  <c r="D50" i="2"/>
  <c r="C50" i="2"/>
  <c r="K49" i="2"/>
  <c r="J49" i="2"/>
  <c r="I49" i="2"/>
  <c r="H49" i="2"/>
  <c r="F49" i="2"/>
  <c r="E49" i="2"/>
  <c r="D49" i="2"/>
  <c r="C49" i="2"/>
  <c r="K48" i="2"/>
  <c r="J48" i="2"/>
  <c r="I48" i="2"/>
  <c r="H48" i="2"/>
  <c r="F48" i="2"/>
  <c r="E48" i="2"/>
  <c r="D48" i="2"/>
  <c r="C48" i="2"/>
  <c r="K47" i="2"/>
  <c r="J47" i="2"/>
  <c r="I47" i="2"/>
  <c r="H47" i="2"/>
  <c r="F47" i="2"/>
  <c r="E47" i="2"/>
  <c r="D47" i="2"/>
  <c r="C47" i="2"/>
  <c r="K46" i="2"/>
  <c r="J46" i="2"/>
  <c r="I46" i="2"/>
  <c r="H46" i="2"/>
  <c r="F46" i="2"/>
  <c r="E46" i="2"/>
  <c r="D46" i="2"/>
  <c r="C46" i="2"/>
  <c r="K45" i="2"/>
  <c r="J45" i="2"/>
  <c r="I45" i="2"/>
  <c r="H45" i="2"/>
  <c r="F45" i="2"/>
  <c r="E45" i="2"/>
  <c r="D45" i="2"/>
  <c r="C45" i="2"/>
  <c r="K44" i="2"/>
  <c r="J44" i="2"/>
  <c r="I44" i="2"/>
  <c r="H44" i="2"/>
  <c r="F44" i="2"/>
  <c r="E44" i="2"/>
  <c r="D44" i="2"/>
  <c r="C44" i="2"/>
  <c r="K43" i="2"/>
  <c r="J43" i="2"/>
  <c r="I43" i="2"/>
  <c r="H43" i="2"/>
  <c r="F43" i="2"/>
  <c r="E43" i="2"/>
  <c r="D43" i="2"/>
  <c r="C43" i="2"/>
  <c r="K42" i="2"/>
  <c r="J42" i="2"/>
  <c r="I42" i="2"/>
  <c r="H42" i="2"/>
  <c r="F42" i="2"/>
  <c r="E42" i="2"/>
  <c r="D42" i="2"/>
  <c r="C42" i="2"/>
  <c r="K41" i="2"/>
  <c r="J41" i="2"/>
  <c r="I41" i="2"/>
  <c r="H41" i="2"/>
  <c r="F41" i="2"/>
  <c r="E41" i="2"/>
  <c r="D41" i="2"/>
  <c r="C41" i="2"/>
  <c r="K40" i="2"/>
  <c r="J40" i="2"/>
  <c r="I40" i="2"/>
  <c r="H40" i="2"/>
  <c r="F40" i="2"/>
  <c r="E40" i="2"/>
  <c r="D40" i="2"/>
  <c r="C40" i="2"/>
  <c r="K39" i="2"/>
  <c r="J39" i="2"/>
  <c r="I39" i="2"/>
  <c r="H39" i="2"/>
  <c r="F39" i="2"/>
  <c r="E39" i="2"/>
  <c r="D39" i="2"/>
  <c r="C39" i="2"/>
  <c r="K38" i="2"/>
  <c r="J38" i="2"/>
  <c r="I38" i="2"/>
  <c r="H38" i="2"/>
  <c r="F38" i="2"/>
  <c r="E38" i="2"/>
  <c r="D38" i="2"/>
  <c r="C38" i="2"/>
  <c r="K37" i="2"/>
  <c r="J37" i="2"/>
  <c r="I37" i="2"/>
  <c r="H37" i="2"/>
  <c r="F37" i="2"/>
  <c r="E37" i="2"/>
  <c r="D37" i="2"/>
  <c r="C37" i="2"/>
  <c r="K36" i="2"/>
  <c r="J36" i="2"/>
  <c r="I36" i="2"/>
  <c r="H36" i="2"/>
  <c r="F36" i="2"/>
  <c r="E36" i="2"/>
  <c r="D36" i="2"/>
  <c r="C36" i="2"/>
  <c r="K35" i="2"/>
  <c r="J35" i="2"/>
  <c r="I35" i="2"/>
  <c r="H35" i="2"/>
  <c r="F35" i="2"/>
  <c r="E35" i="2"/>
  <c r="D35" i="2"/>
  <c r="C35" i="2"/>
  <c r="K34" i="2"/>
  <c r="J34" i="2"/>
  <c r="I34" i="2"/>
  <c r="H34" i="2"/>
  <c r="F34" i="2"/>
  <c r="E34" i="2"/>
  <c r="D34" i="2"/>
  <c r="C34" i="2"/>
  <c r="K33" i="2"/>
  <c r="J33" i="2"/>
  <c r="I33" i="2"/>
  <c r="H33" i="2"/>
  <c r="F33" i="2"/>
  <c r="E33" i="2"/>
  <c r="D33" i="2"/>
  <c r="C33" i="2"/>
  <c r="K32" i="2"/>
  <c r="J32" i="2"/>
  <c r="I32" i="2"/>
  <c r="H32" i="2"/>
  <c r="F32" i="2"/>
  <c r="E32" i="2"/>
  <c r="D32" i="2"/>
  <c r="C32" i="2"/>
  <c r="K31" i="2"/>
  <c r="J31" i="2"/>
  <c r="I31" i="2"/>
  <c r="H31" i="2"/>
  <c r="F31" i="2"/>
  <c r="E31" i="2"/>
  <c r="D31" i="2"/>
  <c r="C31" i="2"/>
  <c r="K30" i="2"/>
  <c r="J30" i="2"/>
  <c r="I30" i="2"/>
  <c r="H30" i="2"/>
  <c r="F30" i="2"/>
  <c r="E30" i="2"/>
  <c r="D30" i="2"/>
  <c r="C30" i="2"/>
  <c r="K29" i="2"/>
  <c r="J29" i="2"/>
  <c r="I29" i="2"/>
  <c r="H29" i="2"/>
  <c r="F29" i="2"/>
  <c r="E29" i="2"/>
  <c r="D29" i="2"/>
  <c r="C29" i="2"/>
  <c r="K28" i="2"/>
  <c r="J28" i="2"/>
  <c r="I28" i="2"/>
  <c r="H28" i="2"/>
  <c r="F28" i="2"/>
  <c r="E28" i="2"/>
  <c r="D28" i="2"/>
  <c r="C28" i="2"/>
  <c r="K27" i="2"/>
  <c r="J27" i="2"/>
  <c r="I27" i="2"/>
  <c r="H27" i="2"/>
  <c r="F27" i="2"/>
  <c r="E27" i="2"/>
  <c r="D27" i="2"/>
  <c r="C27" i="2"/>
  <c r="K26" i="2"/>
  <c r="J26" i="2"/>
  <c r="I26" i="2"/>
  <c r="H26" i="2"/>
  <c r="F26" i="2"/>
  <c r="E26" i="2"/>
  <c r="D26" i="2"/>
  <c r="C26" i="2"/>
  <c r="K25" i="2"/>
  <c r="J25" i="2"/>
  <c r="I25" i="2"/>
  <c r="H25" i="2"/>
  <c r="F25" i="2"/>
  <c r="E25" i="2"/>
  <c r="D25" i="2"/>
  <c r="C25" i="2"/>
  <c r="K24" i="2"/>
  <c r="J24" i="2"/>
  <c r="I24" i="2"/>
  <c r="H24" i="2"/>
  <c r="F24" i="2"/>
  <c r="E24" i="2"/>
  <c r="D24" i="2"/>
  <c r="C24" i="2"/>
  <c r="K23" i="2"/>
  <c r="J23" i="2"/>
  <c r="I23" i="2"/>
  <c r="H23" i="2"/>
  <c r="F23" i="2"/>
  <c r="E23" i="2"/>
  <c r="D23" i="2"/>
  <c r="C23" i="2"/>
  <c r="K22" i="2"/>
  <c r="J22" i="2"/>
  <c r="I22" i="2"/>
  <c r="H22" i="2"/>
  <c r="F22" i="2"/>
  <c r="E22" i="2"/>
  <c r="D22" i="2"/>
  <c r="C22" i="2"/>
  <c r="K21" i="2"/>
  <c r="J21" i="2"/>
  <c r="I21" i="2"/>
  <c r="H21" i="2"/>
  <c r="F21" i="2"/>
  <c r="E21" i="2"/>
  <c r="D21" i="2"/>
  <c r="C21" i="2"/>
  <c r="K20" i="2"/>
  <c r="J20" i="2"/>
  <c r="I20" i="2"/>
  <c r="H20" i="2"/>
  <c r="F20" i="2"/>
  <c r="E20" i="2"/>
  <c r="D20" i="2"/>
  <c r="C20" i="2"/>
  <c r="K19" i="2"/>
  <c r="J19" i="2"/>
  <c r="I19" i="2"/>
  <c r="H19" i="2"/>
  <c r="F19" i="2"/>
  <c r="E19" i="2"/>
  <c r="D19" i="2"/>
  <c r="C19" i="2"/>
  <c r="K18" i="2"/>
  <c r="J18" i="2"/>
  <c r="I18" i="2"/>
  <c r="H18" i="2"/>
  <c r="F18" i="2"/>
  <c r="E18" i="2"/>
  <c r="D18" i="2"/>
  <c r="C18" i="2"/>
  <c r="K17" i="2"/>
  <c r="J17" i="2"/>
  <c r="I17" i="2"/>
  <c r="H17" i="2"/>
  <c r="F17" i="2"/>
  <c r="E17" i="2"/>
  <c r="D17" i="2"/>
  <c r="C17" i="2"/>
  <c r="K16" i="2"/>
  <c r="J16" i="2"/>
  <c r="I16" i="2"/>
  <c r="H16" i="2"/>
  <c r="F16" i="2"/>
  <c r="E16" i="2"/>
  <c r="D16" i="2"/>
  <c r="C16" i="2"/>
  <c r="K15" i="2"/>
  <c r="J15" i="2"/>
  <c r="I15" i="2"/>
  <c r="H15" i="2"/>
  <c r="F15" i="2"/>
  <c r="E15" i="2"/>
  <c r="D15" i="2"/>
  <c r="C15" i="2"/>
  <c r="K14" i="2"/>
  <c r="J14" i="2"/>
  <c r="I14" i="2"/>
  <c r="H14" i="2"/>
  <c r="F14" i="2"/>
  <c r="E14" i="2"/>
  <c r="D14" i="2"/>
  <c r="C14" i="2"/>
  <c r="K13" i="2"/>
  <c r="J13" i="2"/>
  <c r="I13" i="2"/>
  <c r="H13" i="2"/>
  <c r="F13" i="2"/>
  <c r="E13" i="2"/>
  <c r="D13" i="2"/>
  <c r="C13" i="2"/>
  <c r="K12" i="2"/>
  <c r="J12" i="2"/>
  <c r="I12" i="2"/>
  <c r="H12" i="2"/>
  <c r="F12" i="2"/>
  <c r="E12" i="2"/>
  <c r="D12" i="2"/>
  <c r="C12" i="2"/>
  <c r="K11" i="2"/>
  <c r="J11" i="2"/>
  <c r="I11" i="2"/>
  <c r="H11" i="2"/>
  <c r="F11" i="2"/>
  <c r="E11" i="2"/>
  <c r="D11" i="2"/>
  <c r="C11" i="2"/>
  <c r="K10" i="2"/>
  <c r="J10" i="2"/>
  <c r="I10" i="2"/>
  <c r="H10" i="2"/>
  <c r="F10" i="2"/>
  <c r="E10" i="2"/>
  <c r="D10" i="2"/>
  <c r="C10" i="2"/>
  <c r="K9" i="2"/>
  <c r="J9" i="2"/>
  <c r="I9" i="2"/>
  <c r="H9" i="2"/>
  <c r="F9" i="2"/>
  <c r="E9" i="2"/>
  <c r="D9" i="2"/>
  <c r="C9" i="2"/>
  <c r="K8" i="2"/>
  <c r="J8" i="2"/>
  <c r="I8" i="2"/>
  <c r="H8" i="2"/>
  <c r="F8" i="2"/>
  <c r="E8" i="2"/>
  <c r="D8" i="2"/>
  <c r="C8" i="2"/>
  <c r="K7" i="2"/>
  <c r="J7" i="2"/>
  <c r="I7" i="2"/>
  <c r="H7" i="2"/>
  <c r="F7" i="2"/>
  <c r="E7" i="2"/>
  <c r="D7" i="2"/>
  <c r="C7" i="2"/>
  <c r="K6" i="2"/>
  <c r="J6" i="2"/>
  <c r="I6" i="2"/>
  <c r="H6" i="2"/>
  <c r="F6" i="2"/>
  <c r="E6" i="2"/>
  <c r="D6" i="2"/>
  <c r="C6" i="2"/>
  <c r="K5" i="2"/>
  <c r="J5" i="2"/>
  <c r="I5" i="2"/>
  <c r="H5" i="2"/>
  <c r="F5" i="2"/>
  <c r="E5" i="2"/>
  <c r="D5" i="2"/>
  <c r="C5" i="2"/>
  <c r="G8" i="2" l="1"/>
  <c r="G95" i="2"/>
  <c r="G100" i="2"/>
  <c r="G99" i="2"/>
  <c r="G97" i="2"/>
  <c r="G98" i="2"/>
  <c r="G96" i="2"/>
  <c r="G93" i="2"/>
  <c r="L94" i="2"/>
  <c r="G94" i="2"/>
  <c r="G6" i="2"/>
  <c r="L8" i="2"/>
  <c r="G11" i="2"/>
  <c r="G16" i="2"/>
  <c r="L18" i="2"/>
  <c r="G21" i="2"/>
  <c r="G26" i="2"/>
  <c r="L28" i="2"/>
  <c r="G31" i="2"/>
  <c r="G36" i="2"/>
  <c r="L38" i="2"/>
  <c r="G41" i="2"/>
  <c r="G46" i="2"/>
  <c r="L48" i="2"/>
  <c r="G51" i="2"/>
  <c r="G56" i="2"/>
  <c r="L58" i="2"/>
  <c r="L93" i="2"/>
  <c r="G61" i="2"/>
  <c r="G66" i="2"/>
  <c r="L68" i="2"/>
  <c r="G71" i="2"/>
  <c r="G76" i="2"/>
  <c r="G81" i="2"/>
  <c r="G86" i="2"/>
  <c r="L88" i="2"/>
  <c r="G91" i="2"/>
  <c r="L10" i="2"/>
  <c r="G13" i="2"/>
  <c r="G18" i="2"/>
  <c r="L20" i="2"/>
  <c r="G23" i="2"/>
  <c r="G28" i="2"/>
  <c r="G33" i="2"/>
  <c r="G38" i="2"/>
  <c r="L40" i="2"/>
  <c r="G43" i="2"/>
  <c r="G48" i="2"/>
  <c r="L50" i="2"/>
  <c r="G53" i="2"/>
  <c r="G58" i="2"/>
  <c r="L60" i="2"/>
  <c r="G63" i="2"/>
  <c r="L70" i="2"/>
  <c r="G73" i="2"/>
  <c r="G78" i="2"/>
  <c r="G83" i="2"/>
  <c r="G88" i="2"/>
  <c r="L90" i="2"/>
  <c r="G9" i="2"/>
  <c r="G14" i="2"/>
  <c r="G19" i="2"/>
  <c r="G5" i="2"/>
  <c r="G10" i="2"/>
  <c r="G15" i="2"/>
  <c r="G20" i="2"/>
  <c r="G25" i="2"/>
  <c r="G30" i="2"/>
  <c r="G35" i="2"/>
  <c r="G40" i="2"/>
  <c r="G45" i="2"/>
  <c r="G50" i="2"/>
  <c r="G55" i="2"/>
  <c r="G60" i="2"/>
  <c r="G65" i="2"/>
  <c r="G70" i="2"/>
  <c r="G75" i="2"/>
  <c r="G80" i="2"/>
  <c r="G85" i="2"/>
  <c r="G90" i="2"/>
  <c r="L92" i="2"/>
  <c r="L78" i="2"/>
  <c r="L30" i="2"/>
  <c r="L12" i="2"/>
  <c r="L22" i="2"/>
  <c r="L32" i="2"/>
  <c r="L42" i="2"/>
  <c r="L52" i="2"/>
  <c r="L62" i="2"/>
  <c r="L72" i="2"/>
  <c r="L82" i="2"/>
  <c r="L6" i="2"/>
  <c r="L16" i="2"/>
  <c r="L71" i="2"/>
  <c r="L81" i="2"/>
  <c r="L91" i="2"/>
  <c r="G68" i="2"/>
  <c r="L41" i="2"/>
  <c r="L31" i="2"/>
  <c r="L51" i="2"/>
  <c r="L61" i="2"/>
  <c r="L37" i="2"/>
  <c r="L47" i="2"/>
  <c r="L57" i="2"/>
  <c r="L67" i="2"/>
  <c r="L77" i="2"/>
  <c r="L87" i="2"/>
  <c r="L45" i="2"/>
  <c r="L55" i="2"/>
  <c r="L65" i="2"/>
  <c r="L75" i="2"/>
  <c r="L85" i="2"/>
  <c r="L35" i="2"/>
  <c r="L63" i="2"/>
  <c r="L73" i="2"/>
  <c r="L83" i="2"/>
  <c r="L80" i="2"/>
  <c r="G24" i="2"/>
  <c r="L26" i="2"/>
  <c r="G29" i="2"/>
  <c r="G34" i="2"/>
  <c r="L36" i="2"/>
  <c r="G39" i="2"/>
  <c r="G44" i="2"/>
  <c r="L46" i="2"/>
  <c r="G49" i="2"/>
  <c r="G54" i="2"/>
  <c r="L56" i="2"/>
  <c r="G59" i="2"/>
  <c r="G64" i="2"/>
  <c r="L66" i="2"/>
  <c r="G69" i="2"/>
  <c r="G74" i="2"/>
  <c r="L76" i="2"/>
  <c r="G79" i="2"/>
  <c r="G84" i="2"/>
  <c r="L86" i="2"/>
  <c r="G89" i="2"/>
  <c r="L15" i="2"/>
  <c r="L21" i="2"/>
  <c r="L7" i="2"/>
  <c r="L5" i="2"/>
  <c r="L25" i="2"/>
  <c r="L13" i="2"/>
  <c r="L33" i="2"/>
  <c r="L53" i="2"/>
  <c r="L23" i="2"/>
  <c r="L43" i="2"/>
  <c r="G7" i="2"/>
  <c r="L14" i="2"/>
  <c r="G17" i="2"/>
  <c r="G22" i="2"/>
  <c r="L24" i="2"/>
  <c r="G27" i="2"/>
  <c r="G32" i="2"/>
  <c r="L34" i="2"/>
  <c r="G37" i="2"/>
  <c r="G42" i="2"/>
  <c r="L44" i="2"/>
  <c r="G47" i="2"/>
  <c r="G52" i="2"/>
  <c r="L54" i="2"/>
  <c r="G57" i="2"/>
  <c r="G62" i="2"/>
  <c r="L64" i="2"/>
  <c r="G67" i="2"/>
  <c r="G72" i="2"/>
  <c r="L74" i="2"/>
  <c r="G77" i="2"/>
  <c r="G82" i="2"/>
  <c r="L84" i="2"/>
  <c r="G87" i="2"/>
  <c r="G92" i="2"/>
  <c r="L27" i="2"/>
  <c r="G12" i="2"/>
  <c r="L9" i="2"/>
  <c r="L19" i="2"/>
  <c r="L29" i="2"/>
  <c r="L39" i="2"/>
  <c r="L49" i="2"/>
  <c r="L59" i="2"/>
  <c r="L69" i="2"/>
  <c r="L79" i="2"/>
  <c r="L89" i="2"/>
  <c r="L17" i="2"/>
  <c r="L11" i="2"/>
  <c r="G101" i="2" l="1"/>
</calcChain>
</file>

<file path=xl/sharedStrings.xml><?xml version="1.0" encoding="utf-8"?>
<sst xmlns="http://schemas.openxmlformats.org/spreadsheetml/2006/main" count="3098" uniqueCount="968">
  <si>
    <t>Bil</t>
  </si>
  <si>
    <t>Tahun</t>
  </si>
  <si>
    <t>Tarikh</t>
  </si>
  <si>
    <t>Kepada (pengerusi)</t>
  </si>
  <si>
    <t>Penolong Pengerusi</t>
  </si>
  <si>
    <t>panel 1</t>
  </si>
  <si>
    <t>panel 2</t>
  </si>
  <si>
    <t>alamat / Fakulti</t>
  </si>
  <si>
    <t>Pengerusi/Panel (Fakulti lain)</t>
  </si>
  <si>
    <t>panel (Fakulti lain)</t>
  </si>
  <si>
    <t>Fakulti</t>
  </si>
  <si>
    <t>Tajuk (SEMULA)</t>
  </si>
  <si>
    <t>Tajuk</t>
  </si>
  <si>
    <t>Tajuk (re-Proposal Defense)</t>
  </si>
  <si>
    <t>Panggilan hormat</t>
  </si>
  <si>
    <t>Panggilan hormat_2</t>
  </si>
  <si>
    <t>Punca kuasa</t>
  </si>
  <si>
    <t>Isi surat 1</t>
  </si>
  <si>
    <t>isi surat 2</t>
  </si>
  <si>
    <t>Program</t>
  </si>
  <si>
    <t>Bidang</t>
  </si>
  <si>
    <t>Nama Pelajar</t>
  </si>
  <si>
    <t>No. Matrik</t>
  </si>
  <si>
    <t>Tajuk Proposal</t>
  </si>
  <si>
    <t>Masa</t>
  </si>
  <si>
    <t>Tempat</t>
  </si>
  <si>
    <t>sk 1</t>
  </si>
  <si>
    <t>sk 2</t>
  </si>
  <si>
    <t>sk 3</t>
  </si>
  <si>
    <t>Nota</t>
  </si>
  <si>
    <t>Rujukan Surat Pelantikan</t>
  </si>
  <si>
    <t>Tarikh Surat</t>
  </si>
  <si>
    <t>Tajuk Penterjemah</t>
  </si>
  <si>
    <t>Kelulusan Khidmat Penterjemah (We are glad/ We regret)</t>
  </si>
  <si>
    <t>Kelulusan (SUCCESSFUL/ UNSUCCESSFUL)</t>
  </si>
  <si>
    <t>Kategori Penterjemahan</t>
  </si>
  <si>
    <t>MEI</t>
  </si>
  <si>
    <t xml:space="preserve">Dr. Shah Iskandar Fahmie bin Ramlee </t>
  </si>
  <si>
    <t>Dr. Nur Syakirah binti Ahmad</t>
  </si>
  <si>
    <t>Prof. Dr. Raja Suzana binti Raja Kasim</t>
  </si>
  <si>
    <t>Dr. Norzalizah binti Bahari</t>
  </si>
  <si>
    <t>Fakulti Keusahawanan dan Perniagaan</t>
  </si>
  <si>
    <t>SEMULA</t>
  </si>
  <si>
    <t>re-PROPOSAL DEFENSE</t>
  </si>
  <si>
    <t>YBhg. Prof./Dr.</t>
  </si>
  <si>
    <t>Mesyuarat Jawatankuasa Pascasiswazah Bil. 4/2024 (kali ke-45)</t>
  </si>
  <si>
    <t>Semula</t>
  </si>
  <si>
    <t>re-Proposal Defense</t>
  </si>
  <si>
    <t>Doktor Falsafah</t>
  </si>
  <si>
    <t>Keusahawanan</t>
  </si>
  <si>
    <t>Abu Bakar bin Busmah</t>
  </si>
  <si>
    <t>A21E0127P</t>
  </si>
  <si>
    <t>Kesan Kompetensi Keusahawanan Terhadap Prestasi Koperasi Sekolah Melalui Tingkah Laku Kepimpinan Transformasi Anggota Lembaga Koperasi Sekolah di Malaysia</t>
  </si>
  <si>
    <t>24 Jun 2024 (Isnin)</t>
  </si>
  <si>
    <t>11.00 pagi</t>
  </si>
  <si>
    <t>Platform Zoom (pautan akan dimaklumkan kemudian)</t>
  </si>
  <si>
    <t>1) Prof. Dr. Roselina binti Ahmad Saufi (Penyelia Utama)</t>
  </si>
  <si>
    <t>2) Dr. Noor Raihani binti Zainol (Penyelia Bersama)</t>
  </si>
  <si>
    <t>Dr. Syarizal bin Abdul Rahim</t>
  </si>
  <si>
    <t xml:space="preserve">Dr. Siti Som binti Husin </t>
  </si>
  <si>
    <t>Prof. Madya Dr. Dzulkifli bin Mukhtar</t>
  </si>
  <si>
    <t>Prof. Madya Dr. Mohd Nazri bin Zakaria</t>
  </si>
  <si>
    <t>YBrs. Prof. Madya/Dr.</t>
  </si>
  <si>
    <t>re-Proposal Defence</t>
  </si>
  <si>
    <t>Pengurusan</t>
  </si>
  <si>
    <t>Chen Li</t>
  </si>
  <si>
    <t>A20E0214F</t>
  </si>
  <si>
    <t>The Effectiveness of Performance Management Module (PMM) on Nurse Performance with Moderating Effect of Willingness to Use HMIS Among Nurses in Hunan Public Hospitals</t>
  </si>
  <si>
    <t>28 Mei 2024 (selasa)</t>
  </si>
  <si>
    <t>10.30 pagi</t>
  </si>
  <si>
    <t>1) Prof. Madya Dr. Muhamad Saufi bin Che Rusuli (Penyelia Utama)</t>
  </si>
  <si>
    <t>2) Prof. Madya Dr. Noorshella binti Che Nawi (Jawatankuasa Penyeliaan)</t>
  </si>
  <si>
    <t>3) Dr. wan Mohd Nazdrol bin Wan Mohd Nasir (Jawatankuasa Penyeliaan)</t>
  </si>
  <si>
    <t>Prof. Madya. Dr. Mohd Zulkifli bin Muhammad</t>
  </si>
  <si>
    <t>Dr. Siti Salwani binti Abdullah</t>
  </si>
  <si>
    <t>Dr. Siti Fariha binti Muhamad</t>
  </si>
  <si>
    <t>Dr. Muhammad Jaffri bin Mohd Nasir</t>
  </si>
  <si>
    <t>PROPOSAL DEFENSE</t>
  </si>
  <si>
    <t>Proposal Defense</t>
  </si>
  <si>
    <t>Sarjana</t>
  </si>
  <si>
    <t>Kewangan</t>
  </si>
  <si>
    <t>Nursyahiyatul Anis binti Othman</t>
  </si>
  <si>
    <t>A23D053F</t>
  </si>
  <si>
    <t>Asseccing A Comprehensive Cost Analysis on Meliodosis in Northern Malaysia</t>
  </si>
  <si>
    <t>12 Jun 2024 (Rabu)</t>
  </si>
  <si>
    <t>2.30 petang</t>
  </si>
  <si>
    <t>1) Dr. Mardhiah binti Kamaruddin (Penyelia Utama)</t>
  </si>
  <si>
    <t>2) Prof. Madya Dr. Hazriah binti Hasan (Penyelia Bersama)</t>
  </si>
  <si>
    <t>Dr. Norhafifah binti Samsudin</t>
  </si>
  <si>
    <t>Prof. Madya Dr. Wan Farha binti Wan Zulkiffli</t>
  </si>
  <si>
    <t>Dr. Mohd Ikhwan bin Aziz</t>
  </si>
  <si>
    <t>Chen Zaidie</t>
  </si>
  <si>
    <t>A20E054F</t>
  </si>
  <si>
    <t>Exploring the Enduring Influence of Perceived of External Control and Computer Playfulness towards Behavioral Intention on User Adoption of Banking Mobile Applications in Hangzhou City Commercial Bank: The Mediating effect of Perceived Ease of Use</t>
  </si>
  <si>
    <t>27 Mei 2024 (Isnin)</t>
  </si>
  <si>
    <t>9.30 pagi</t>
  </si>
  <si>
    <t>1) Dr. Fatihah binti Mohd (Penyelia Utama)</t>
  </si>
  <si>
    <t>2) Dr. Nur Ain Ayunni binti Sabri (Penyelia Bersama)</t>
  </si>
  <si>
    <t>Dr. Siti Rohana binti Mohamad</t>
  </si>
  <si>
    <t>Dr. Zaminor binti Zamzamir @ Zamzamin</t>
  </si>
  <si>
    <t xml:space="preserve">Dr. Ahmad Ridhuwan bin Abdullah </t>
  </si>
  <si>
    <t>Ma Jianmei</t>
  </si>
  <si>
    <t>A21E013F</t>
  </si>
  <si>
    <t>The Impact of Digital Inclusive Finance on Financing Constraints of Small and Medium Sized Enterprises in China.</t>
  </si>
  <si>
    <t>29 Mei 2024 (Rabu)</t>
  </si>
  <si>
    <t>1) Dr. Noormariana binti Mohd Din (Penyelia Utama)</t>
  </si>
  <si>
    <t>JUN</t>
  </si>
  <si>
    <t>Dr. Nur Fadiah binti Mohd Zawawi</t>
  </si>
  <si>
    <t>Prof. Dr. Mohd Nor Hakimin bin Yusoff</t>
  </si>
  <si>
    <t>Prof. Dr. Mohd Rafi bin Yaacob</t>
  </si>
  <si>
    <t>YBhg. Prof.</t>
  </si>
  <si>
    <t>Perakaunan</t>
  </si>
  <si>
    <t>Syukry Hadi</t>
  </si>
  <si>
    <t>A19E0039F</t>
  </si>
  <si>
    <t>Determinants of Job Performance Among Financial Employees in Indonesia Private Hospital : The Role of Intrapreneurship as Mediator and Psychological Ownership as Moderator</t>
  </si>
  <si>
    <t>8 Julai 2024 (Isnin)</t>
  </si>
  <si>
    <t>10.00 pagi</t>
  </si>
  <si>
    <t>1) Prof. Dato’ Dr. Razli bin Che Razak (Penyelia Utama)</t>
  </si>
  <si>
    <t xml:space="preserve">MEI </t>
  </si>
  <si>
    <t>Prof. Dr. Balakrishnan a/l Parasuraman</t>
  </si>
  <si>
    <t>Muhammad Fikry Hadi</t>
  </si>
  <si>
    <t>A19E0023F</t>
  </si>
  <si>
    <t>Pengaruh Kepimpinan Transformasi dan Komitmen Organisasi Terhadap Prestasi Kerja Pensyarah Universiti Muhammadiyah di Indonesia : Kesan Pengantara Kepuasan Kerja dan Penyederhanaan Kepimpinan Rohani</t>
  </si>
  <si>
    <t>6 Jun 2024 (Khamis)</t>
  </si>
  <si>
    <t>2) Dr. Nurul Hafizah binti Mohd Yasin (Penyelia Bersama)</t>
  </si>
  <si>
    <t xml:space="preserve">Dr. Nur Syafiqah binti A. Samad </t>
  </si>
  <si>
    <t xml:space="preserve">Pn. Nik Noorhazila binti Nik Mud </t>
  </si>
  <si>
    <t>Dr. Nor Asma binti Ahmad</t>
  </si>
  <si>
    <t>PRA PEPERIKSAAN LISAN (PRE VIVA)</t>
  </si>
  <si>
    <t>YBrs. Dr./Puan</t>
  </si>
  <si>
    <t>Pra Peperiksaan Lisan (Pre Viva)</t>
  </si>
  <si>
    <t>Nurza binti Mohamed Yusoff</t>
  </si>
  <si>
    <t>A18E025F</t>
  </si>
  <si>
    <t>The Nexus of Financial Development, Employment, and Economic Growth in Developing Countries: The Role of Minimum Wage</t>
  </si>
  <si>
    <t>9 Jun 2024 (Ahad)</t>
  </si>
  <si>
    <t>1) Dr Nurnaddia binti Nordin (Penyelia Utama)</t>
  </si>
  <si>
    <t>2) Dr. Nurhaiza binti Nordin (Penyelia Bersama)</t>
  </si>
  <si>
    <t xml:space="preserve">Dr. Azira Hanani binti Berahim @ Ab Rahman </t>
  </si>
  <si>
    <t>Pn. Nik Madeeha binti Nik Mohd Munir</t>
  </si>
  <si>
    <t>Han Yue</t>
  </si>
  <si>
    <t>A20E0110F</t>
  </si>
  <si>
    <t xml:space="preserve">Evaluation of Macroeconomic Models for Financial Stability Analysis: A Case Study of Financial Market in China </t>
  </si>
  <si>
    <t>Pn. Aimi Nadia binti Ibrahim @ Zakaria</t>
  </si>
  <si>
    <t>Prof. Madya Dr. Muhamad Saufi bin Che Rusuli</t>
  </si>
  <si>
    <t>Prof. Madya Dr. Noorshella binti Che Nawi</t>
  </si>
  <si>
    <t>YBrs. Prof. Madya/puan</t>
  </si>
  <si>
    <t>Peruncitan</t>
  </si>
  <si>
    <t>Haidong Zhang</t>
  </si>
  <si>
    <t>A20E002F</t>
  </si>
  <si>
    <t>The Relationship Between The Big Data Analysis Capability, External Knowledge Search and Omni-Channel Marketing on Firm Performance in China</t>
  </si>
  <si>
    <t>11 Jun 2024 (Selasa)</t>
  </si>
  <si>
    <t>1) Prof. Madya Ts. Dr. Zailani bin Abdullah (Penyelia Utama)</t>
  </si>
  <si>
    <t>Dr. Syamsuriana binti Sidek</t>
  </si>
  <si>
    <t>Prof. Madya Ts. Dr. Zuraimi bin Abdul Aziz</t>
  </si>
  <si>
    <t>SESI PENILAIAN SEMULA</t>
  </si>
  <si>
    <t>PRA PEPERIKSAAN LISAN (re-PRE VIVA)</t>
  </si>
  <si>
    <t>YBhg. Prof./Prof. Madya/Dr.</t>
  </si>
  <si>
    <t>Sesi Penilaian Semula</t>
  </si>
  <si>
    <t>Pra Peperiksaan Lisan (re-Pre Viva)</t>
  </si>
  <si>
    <t>Fadhilahanim Aryani binti Abdullah</t>
  </si>
  <si>
    <t>C14E008P</t>
  </si>
  <si>
    <t>Innovation Competency and Innovation Capability on SME’s Innovation Performance in Malaysia Health Tourism Industry: Moderating Effects of Digital Technology Diffusion</t>
  </si>
  <si>
    <t>10 Julai 2024 (Rabu)</t>
  </si>
  <si>
    <t>1) Prof. Dato' Dr. Nik Maheran binti Nik Muhammad (Penyelia Utama)</t>
  </si>
  <si>
    <t>Dr. Nor Hafiza binti Othman</t>
  </si>
  <si>
    <t xml:space="preserve">Reni Mutiarani Saraswati </t>
  </si>
  <si>
    <t>A20E0179F</t>
  </si>
  <si>
    <t>Social Entrepreneurial Orientation on Sustainability Performance Among social Business Organizations in Indonesia</t>
  </si>
  <si>
    <t>5 Jun 2024 (Rabu)</t>
  </si>
  <si>
    <t>1) Dr. Noor Raihani binti Zainol (Penyelia Utama)</t>
  </si>
  <si>
    <t>2) Dr. Suhaila binti Abdul Kadir (Penyelia Bersama)</t>
  </si>
  <si>
    <t>Prof. Madya Dr. Noorul Azwin binti Md Nasir</t>
  </si>
  <si>
    <t>Dr. Tahirah binti Abdullah</t>
  </si>
  <si>
    <t>Dr. Mohd Rushdan bin Yasoa’</t>
  </si>
  <si>
    <t>PENILAIAN CADANGAN PENYELIDIKAN (PROPOSAL DEFENSE)</t>
  </si>
  <si>
    <t>Mesyuarat Jawatankuasa Pascasiswazah Bil. 5/2024 (kali ke-46)</t>
  </si>
  <si>
    <t xml:space="preserve">Penilaian Cadangan Penyelidikan (Proposal Defense) </t>
  </si>
  <si>
    <t>Huang Jiayi</t>
  </si>
  <si>
    <t>A22D106F</t>
  </si>
  <si>
    <t>Green Accounting by SME in China: An Application of Theory of Planned and Behaviour</t>
  </si>
  <si>
    <t>12 Ogos 2024 (Isnin)</t>
  </si>
  <si>
    <t>1) Dr. Siti Afiqah binti Zainuddin (Penyelia Utama)</t>
  </si>
  <si>
    <t>Pengerusi - Prof. Madya Dr. Azwan bin Abdullah (Tukar)
Panel 1 - PM. Dr. Nazri bin Zakaria (Tukar)</t>
  </si>
  <si>
    <t>Dr. Kasmaruddin bin Che Hussin</t>
  </si>
  <si>
    <t>En. Mohamed Ariff bin Abdul Rahman</t>
  </si>
  <si>
    <t>Wu Shuangshuang</t>
  </si>
  <si>
    <t>A21E054F</t>
  </si>
  <si>
    <t>Study on the Effect of Preferential Tax Policies on Science and Technology Capital</t>
  </si>
  <si>
    <t>14 Julai 2024 (Ahad)</t>
  </si>
  <si>
    <t>1) Prof. Dr. Mohd Nor Hakimin bin Yusof (Penyelia Utama)</t>
  </si>
  <si>
    <t xml:space="preserve">Dr. Suhaila binti Abdul Kadir </t>
  </si>
  <si>
    <t>Nor Shuhada binti Ahmad Shaupi</t>
  </si>
  <si>
    <t>A14E010F</t>
  </si>
  <si>
    <t>Fenomena Pengalaman Peniaga Golongan B40 dalam Persekitaran Mencabar-Pendemik Covid-19: Pendekatan Abduktif Logik</t>
  </si>
  <si>
    <t>16 Julai 2024 (Selasa)</t>
  </si>
  <si>
    <t>1) Prof. Madya Dr. Anis Amira binti Ab Rahman (Penyelia Utama)</t>
  </si>
  <si>
    <t>2) Prof. Dr. Roslina binti Ahmad Saufi (Penyelia Bersama)</t>
  </si>
  <si>
    <t>Dr. Amira binti Jamil</t>
  </si>
  <si>
    <t>En. Zul Karami bin Che Musa</t>
  </si>
  <si>
    <t>Tippavan Rattanaprom</t>
  </si>
  <si>
    <t>A19E039F</t>
  </si>
  <si>
    <t>Factor That Influences the Accounting Practice Among SMEs: A Study on Southern Thai SMEs</t>
  </si>
  <si>
    <t>22 Julai 2024 (Isnin)</t>
  </si>
  <si>
    <t>2) Prof. Madya Dr. Noorul Azwin binti Md Nasir (Penyelia Bersama)</t>
  </si>
  <si>
    <t>Pra Peperiksaan Lisan (Pre Viva Voce)</t>
  </si>
  <si>
    <t>Jia bin</t>
  </si>
  <si>
    <t>A22E011F</t>
  </si>
  <si>
    <t>The Effect of Principal-Agent Attributes and Firm Size on Budgetary Slack: Evidence from Manufacturing Listed Firms in China</t>
  </si>
  <si>
    <t>21 Julai 2024 (Ahad)</t>
  </si>
  <si>
    <t>1) Prof. Madya Dr. Noorul Azwin binti Md Nasir (Penyelia Utama)</t>
  </si>
  <si>
    <t>2) Dr. Zaminor binti Zamzamir @ Zamzamin (Penyelia Bersama)</t>
  </si>
  <si>
    <t>3) Dr. Amira binti Jamil (Penyelia Bersama)</t>
  </si>
  <si>
    <t>Dr. Nik Syuhailah binti Nik Hussin</t>
  </si>
  <si>
    <t>Pemasaran</t>
  </si>
  <si>
    <t>Siti Hanifa Sandri</t>
  </si>
  <si>
    <t>A19E0029F</t>
  </si>
  <si>
    <t>Brand Experience and Customer Relationship Marketing Towards Customer Based Brand Equity: Mediator Role of Word of Mouth in Budget Hotels</t>
  </si>
  <si>
    <t>1) Prof. Madya Dr. Noor Hasmini Hj Abd Ghani (Penyelia Utama)</t>
  </si>
  <si>
    <t>Dr. Rikinorhakis bin Ridzwan</t>
  </si>
  <si>
    <t>Dr. Norfazlirda binti Hairani</t>
  </si>
  <si>
    <t>Amira Nur Syafiah binti Mohammad</t>
  </si>
  <si>
    <t>A21D053F</t>
  </si>
  <si>
    <t>Service Quality, Customer Satisfaction and Continuous Intention For Training Provider in East Coast Region</t>
  </si>
  <si>
    <t>15 Julai 2024 (Isnin)</t>
  </si>
  <si>
    <t>1) Dr. Nik Syuhailah binti Hussin (Penyelia Utama)</t>
  </si>
  <si>
    <t>2) Puan Nadia Hanum binti Amiruddin (Penyelia Bersama)</t>
  </si>
  <si>
    <t>Dr. Muhammad Firdaus bin Zakaria</t>
  </si>
  <si>
    <t>Prof. Madya Dr. Hazriah binti Hasan</t>
  </si>
  <si>
    <t>Dr. Mohd Afifie bin Mohd Alwi</t>
  </si>
  <si>
    <t>Perbankan dan Kewangan Islam</t>
  </si>
  <si>
    <t>Muhammad Lisman</t>
  </si>
  <si>
    <t>A19E0041F</t>
  </si>
  <si>
    <t>Indonesian Sharia Banking Transformation Model In The Digital Era</t>
  </si>
  <si>
    <t>24 Julai 2024 (Rabu)</t>
  </si>
  <si>
    <t>1) Prof. Madya Dr. Mohd Zulkifli bin Muhammad (Penyelia Utama)</t>
  </si>
  <si>
    <t>2) Dr. Muhammad Zulfaris bin Mohd Salleh (Penyelia Bersama)</t>
  </si>
  <si>
    <t>Prof. Madya Dr. Azwan bin Abdullah</t>
  </si>
  <si>
    <t>Mohammad Firdaus bin Nizam</t>
  </si>
  <si>
    <t>A22E048F</t>
  </si>
  <si>
    <t>Leadership Style in Performance of Waqf at University Putra Malaysia (UPM) and Fatoni University (FU), Thailand : Exploratory Qualitative Case Study</t>
  </si>
  <si>
    <t>25 Julai 2024 (Khamis)</t>
  </si>
  <si>
    <t>1) Prof. Dr. Balakrishnan a/l Parasuraman (Penyelia Utama)</t>
  </si>
  <si>
    <t>JULAI</t>
  </si>
  <si>
    <t>Dr. Hasannuddiin bin Hassan</t>
  </si>
  <si>
    <t>PRA PEPERIKSAAN LISAN (PRE VIVA VOCE)</t>
  </si>
  <si>
    <t>Mesyuarat Jawatankuasa Pascasiswazah Bil. 6/2024 (kali ke-47)</t>
  </si>
  <si>
    <t>Kuwata Muhammad Goni</t>
  </si>
  <si>
    <t>A20E0238F</t>
  </si>
  <si>
    <t>Green Human Resource Management, Green Innovation, and Environmental Performance of Hotel in Kano Nigeria: Moderating Role of Green Transformational Leadership</t>
  </si>
  <si>
    <t>4 Ogos 2024 (Ahad)</t>
  </si>
  <si>
    <t>1) Dr. Shah Iskandar Fahmie bin Ramlee (Penyelia Utama)</t>
  </si>
  <si>
    <t>2) Dr. Tahirah binti Abdullah (Penyelia Bersama)</t>
  </si>
  <si>
    <t>En. Ahmad Syakir bin Junoh @ Ismail</t>
  </si>
  <si>
    <t>YBhg. Prof. Dr./Dr.</t>
  </si>
  <si>
    <t>Rika Verawati</t>
  </si>
  <si>
    <t>A20E074F</t>
  </si>
  <si>
    <t>Minat Mahasiswa Dalam Bidang Pendidikan Keusahawanan Di Universiti PGRI Sumatera Barat</t>
  </si>
  <si>
    <t>6 Ogos 2024 (Selasa)</t>
  </si>
  <si>
    <t>1) Prof. Dr. Mohd Rafi bin Yaacob (Penyelia Utama)</t>
  </si>
  <si>
    <t>YBhg. Prof. Dr./Prof. Madya/Dr.</t>
  </si>
  <si>
    <t>Muhammad Ahyaruddin</t>
  </si>
  <si>
    <t>A19E0019F</t>
  </si>
  <si>
    <t>Institutional Isomorphism, Accountability and Local Government Performance in Riau Public Governance: Autonomy and Management Commitment as Moderating Variable</t>
  </si>
  <si>
    <t>7 Ogos 2024 (Rabu)</t>
  </si>
  <si>
    <t>1) Prof. Dr. Mohd Nor Hakimin bin Yusoff (Penyelia Utama)</t>
  </si>
  <si>
    <t>2) Dr. Siti Afiqah binti Zainuddin (Penyelia Bersama)</t>
  </si>
  <si>
    <t>Pengerusi - Prof. Madya Dr. Wan Farha binti Wan Zulkiffli (Tukar)</t>
  </si>
  <si>
    <t>OGOS</t>
  </si>
  <si>
    <t>Dr. Muhammad Zulfaris bin Mohd Salleh</t>
  </si>
  <si>
    <t xml:space="preserve">Dr. Noor Raihani binti Zainol </t>
  </si>
  <si>
    <t>PENILAIAN SEMULA CADANGAN PENYELIDIKAN (re-PROPOSAL DEFENSE)</t>
  </si>
  <si>
    <t>YBrs. Dr.</t>
  </si>
  <si>
    <t xml:space="preserve"> </t>
  </si>
  <si>
    <t xml:space="preserve">Penilaian Semula Cadangan Penyelidikan (re-Proposal Defense) </t>
  </si>
  <si>
    <t>Sofia Samaalee</t>
  </si>
  <si>
    <t>A19E040F</t>
  </si>
  <si>
    <t>The Influence of Investing knowledge and behavioral factors towards the performance of individual investors in the trading shares of companies listed at The Stock Exchange, Thailand using investment decision making as a mediator</t>
  </si>
  <si>
    <t>5 September 2024 (Khamis)</t>
  </si>
  <si>
    <t>1) Dr. Nur Ain Ayuni binti Sabri (Penyelia Utama)</t>
  </si>
  <si>
    <t>2) Dr. Azira Hanani binti Berahim @ Ab Rahman (Penyelia Bersama)</t>
  </si>
  <si>
    <t>3) Prof. Madya Dr. Dzulkifli bin Mukhtar (Penyelia Bersama)</t>
  </si>
  <si>
    <t>Pen. Pengerusi - Dr. Muhammad Zulfaris bin Mohd Salleh (Tukar)</t>
  </si>
  <si>
    <t>Dr. Hanieh Alipour Bazkiaei</t>
  </si>
  <si>
    <t>Dr. Noor Ullah Khan</t>
  </si>
  <si>
    <t>Prof. Madya Dr. Ng Siew Foen</t>
  </si>
  <si>
    <t>Mesyuarat Jawatankuasa Pascasiswazah Bil. 7/2024 (kali ke-48)</t>
  </si>
  <si>
    <t>Sarjana Keusahawanan</t>
  </si>
  <si>
    <t>Pengurusan Sumber Manusia</t>
  </si>
  <si>
    <t>Thiiruchelvi a/p Gunasagaran</t>
  </si>
  <si>
    <t>A20D077P</t>
  </si>
  <si>
    <t>English as a Second Language (ESL) Teachers Preparedness Towards Students Achievements</t>
  </si>
  <si>
    <t>19 Ogos 2024 (Isnin)</t>
  </si>
  <si>
    <t>1) Dr. P. Yukthamarani a/p Permarupan</t>
  </si>
  <si>
    <t>Pn. Nurul Hasliana binti Hamsani</t>
  </si>
  <si>
    <t>Shen Ke</t>
  </si>
  <si>
    <t>A21E049F</t>
  </si>
  <si>
    <t>The Impact of eWOM Characteristics on Intention to Travel to Destination Among Generation Z in China: Mediating by Attitude Towards Information Adoption</t>
  </si>
  <si>
    <t>22 September 2024 (Ahad)</t>
  </si>
  <si>
    <t>1) Prof. Madya Dr. Wan Farha binti Wan Zulkiffli</t>
  </si>
  <si>
    <t>Pengerusi - Dr. Nur Syakirah binti Ahmad (tukar)
Panel 1 - Prof. Dr. Mohammad bin ismail (tukar)</t>
  </si>
  <si>
    <t>Prof. Madya Dr. Anis Amira binti Ab Rahman</t>
  </si>
  <si>
    <t>Muhammad Umar</t>
  </si>
  <si>
    <t>A22E115F</t>
  </si>
  <si>
    <t>An Investigation of Innovation-Driven Enterprises Growth Strategies in the Newly Emerging Economy of Sub-Saharan Africa: A Nigerian Case Study</t>
  </si>
  <si>
    <t>20 Ogos 2024 (Selasa)</t>
  </si>
  <si>
    <t>1) Prof. Madya Dr. Dzulkifli bin Mukhtar (Penyelia Utama)</t>
  </si>
  <si>
    <t>2) Dr. Mohd Ikhwan bin Aziz (Penyelia Bersama)</t>
  </si>
  <si>
    <t>Dr. Tan Wai Hong</t>
  </si>
  <si>
    <t>Song Ziyan</t>
  </si>
  <si>
    <t>A21E016F</t>
  </si>
  <si>
    <t>The Effects of Empathy and the Moderating Role of Regulatory Focus on Donors Decision to Support Philanthropic Crowdfunding in China</t>
  </si>
  <si>
    <t>9 September 2024 (Isnin)</t>
  </si>
  <si>
    <t>1) Dr. Ahmad Ridhuwan bin Abdullah (Penyelia Utama)</t>
  </si>
  <si>
    <t>2) Dr. Siti Salwani binti Abdullah (Penyelia Bersama)</t>
  </si>
  <si>
    <t>3) Dr. Nur Farahiah binti Azmi (Penyelia Bersama)</t>
  </si>
  <si>
    <t>Pengerusi - Dr. Amira bintil Jamil (Tukar)
Panel 1 - Prof. Madya Dr. Azwan bin Abdullah (tukar)</t>
  </si>
  <si>
    <t xml:space="preserve">  </t>
  </si>
  <si>
    <t>Wan Ahmad Rizal bin Mohd Yusoff</t>
  </si>
  <si>
    <t>A19E026F</t>
  </si>
  <si>
    <t>A Study on Interpersonal Skills Among Selected Cases of Successful Malay Entrepreneurs Wholesale SMGs in Terengganu.</t>
  </si>
  <si>
    <t>25 Ogos 2024 (Ahad)</t>
  </si>
  <si>
    <t>Dr. Siti Zamanira binti Mat Zaib</t>
  </si>
  <si>
    <t>Pn. Azizah binti Musa</t>
  </si>
  <si>
    <t>Dr. Aikal Liyani binti Mohd Rasdi</t>
  </si>
  <si>
    <t>Perdagangan</t>
  </si>
  <si>
    <t>Mizan Asnawi</t>
  </si>
  <si>
    <t>A19E0045F</t>
  </si>
  <si>
    <t>Examining the Readiness of SMEs in Implementing Halal Tourism in Indonesia: A Study using the Components Theory of Planned Behavior and Halal Tourism Literacy as Moderator</t>
  </si>
  <si>
    <t>1) Dr. Siti Salwani binti Abdullah (Penyelia Utama)</t>
  </si>
  <si>
    <t>En. Syed Azlan Aljaffree bin Syed Khadzil</t>
  </si>
  <si>
    <t>Wen Peicheng</t>
  </si>
  <si>
    <t>A20E0201F</t>
  </si>
  <si>
    <t>Moderating Effects of USD Cycle and RMB Exchange Rate on Capital Market Linkage in China</t>
  </si>
  <si>
    <t>26 Ogos 2024 (Isnin)</t>
  </si>
  <si>
    <t>1) Dr. Nurhaiza binti Nordin (Penyelia Utama)</t>
  </si>
  <si>
    <t>2) Dr Nurnaddia binti Nordin (Penyelia Bersama)</t>
  </si>
  <si>
    <t>Evi Dwi Kartikasari</t>
  </si>
  <si>
    <t>A22E105F</t>
  </si>
  <si>
    <t>The Macro and Micro Organizational Elements and BUMDesa Performance in Indonesia: A Multiple Case Studies Approach</t>
  </si>
  <si>
    <t>5 Ogos 2024 (Isnin)</t>
  </si>
  <si>
    <r>
      <rPr>
        <sz val="11"/>
        <color theme="1"/>
        <rFont val="Arial"/>
        <family val="2"/>
      </rPr>
      <t xml:space="preserve">Platform </t>
    </r>
    <r>
      <rPr>
        <i/>
        <sz val="11"/>
        <color theme="1"/>
        <rFont val="Arial"/>
        <family val="2"/>
      </rPr>
      <t>Google Meet</t>
    </r>
  </si>
  <si>
    <t>2) Dr. Amira binti Jamil (Penyelia Bersama)</t>
  </si>
  <si>
    <t xml:space="preserve">Puan Nadia Hanum binti Amiruddin </t>
  </si>
  <si>
    <t>Zhuang Haimei</t>
  </si>
  <si>
    <t>A22D123F</t>
  </si>
  <si>
    <t>A Study on the Customer Purchase Intention Toward Colorkey Cosmetic Products In China</t>
  </si>
  <si>
    <t>13 Ogos 2024 (Selasa)</t>
  </si>
  <si>
    <t>1) En. Mohammad Nizamuddin bin Abdul Rahim (Penyelia Utama)</t>
  </si>
  <si>
    <t>Prof. Madya Dr. Muhammad Ashlyzan bin Razik</t>
  </si>
  <si>
    <t>Agustiawan</t>
  </si>
  <si>
    <t>A19E0011F</t>
  </si>
  <si>
    <t>Internal Audit Behavioral, Job Performance, and Audit Quality of Local Government In Riau Province</t>
  </si>
  <si>
    <t>OKTOBER</t>
  </si>
  <si>
    <t>Azianis binti Mohd Noor</t>
  </si>
  <si>
    <t>A14E019F</t>
  </si>
  <si>
    <t>Organization Capital, Human Capital, Members Participation, Government Support and Co-operative Performance: Moderating Effect of Leadership</t>
  </si>
  <si>
    <t>21 Oktober 2024 (Isnin)</t>
  </si>
  <si>
    <t>1) Prof. Dr. Mohammad bin Ismail (Penyelia Utama)</t>
  </si>
  <si>
    <t>2) Prof. Dr. Mohd Nor Hakimin bin Yusoff (Penyelia Bersama)</t>
  </si>
  <si>
    <t>Pengerusi - Prof. Madya Dr. Dzulkifli bin Mukhtar (Tukar)</t>
  </si>
  <si>
    <t>Muhammad Nizam bin Zainuddin</t>
  </si>
  <si>
    <t>A19E056F</t>
  </si>
  <si>
    <t>The Development of Entrepreneurial Passion in the Identity Workspace of the Postgraduate Entrepreneurship Education Program</t>
  </si>
  <si>
    <t>10 September 2024 (Selasa)</t>
  </si>
  <si>
    <t>2) Prof. Madya Dr. Anis Amira binti Ab Rahman (Penyelia Bersama)</t>
  </si>
  <si>
    <t>Pengerusi - Prof. Madya Dr. Hazriah binti Hasan (Tukar)
Pen. Pengerusi - Dr. Rikinorhakis bin Ridzwan (Tukar)</t>
  </si>
  <si>
    <t>YBhg. Prof. Madya/Dr.</t>
  </si>
  <si>
    <t>Linda Hetri Suriyanti</t>
  </si>
  <si>
    <t>A20E0183F</t>
  </si>
  <si>
    <t>The Mediating Effects of Innovation and a Dynamic Environment on the Link Between Strategic Management Accounting Techniques and Performance in Riau Manufacturing Companies</t>
  </si>
  <si>
    <t>Akan ditentukan oleh penyelia</t>
  </si>
  <si>
    <t xml:space="preserve">Dr. Wan Mohd Nazdrol bin Wan Mohd Nasir </t>
  </si>
  <si>
    <t>Wang Peijing</t>
  </si>
  <si>
    <t>A21E038F</t>
  </si>
  <si>
    <t xml:space="preserve">The Relationship Between Brand Image, Brand Attachment, Brand Hate and Brand Relationship Quality in Xiaomi Virtual Communities </t>
  </si>
  <si>
    <t>4 September 2024 (Rabu)</t>
  </si>
  <si>
    <t>1) Prof. Madya Dr. Noor Hasmini binti Abd Ghani (Penyelia Utama)</t>
  </si>
  <si>
    <t>2) Dr. Nur Izzati binti Mohamad Anuar (Penyelia Bersama)</t>
  </si>
  <si>
    <t>SEPTEMBER</t>
  </si>
  <si>
    <t>Mesyuarat Jawatankuasa Pascasiswazah Bil. 8/2024 (kali ke-49)</t>
  </si>
  <si>
    <t>Tobi Arfan</t>
  </si>
  <si>
    <t>A22E146F</t>
  </si>
  <si>
    <t>Pricing Strategy Of Riau Private Polytechnic Higher Education: A Cost And Value-Based Perspective</t>
  </si>
  <si>
    <t>2 Oktober 2024 (Rabu)</t>
  </si>
  <si>
    <t>1) Dr. Mohd Rushdan bin Yasoa’ (Penyelia Utama)</t>
  </si>
  <si>
    <t>3) Dr. Mardhiah binti Kamaruddin (Penyelia Bersama)</t>
  </si>
  <si>
    <t>Pengerusi - Dr. Tahirah binti Abdullah (Tukar)</t>
  </si>
  <si>
    <t>Yefni</t>
  </si>
  <si>
    <t>A22E150F</t>
  </si>
  <si>
    <t>Corporate Governance as a Moderating Variable Between Earning Management and Company Value</t>
  </si>
  <si>
    <t>26 September 2024 (Khamis)</t>
  </si>
  <si>
    <t>2) Dr. Siti Fariha binti Muhamad (Penyelia Bersama)</t>
  </si>
  <si>
    <t xml:space="preserve">Prof. Madya Dr. Noor Hasmini binti Abd Ghani </t>
  </si>
  <si>
    <t>Wu QianYing</t>
  </si>
  <si>
    <t>A21E055F</t>
  </si>
  <si>
    <t>Factors Influencing Consumers’ Coffee Purchase Intention in China: The Mediating Effect of Satisfaction</t>
  </si>
  <si>
    <t>20 November 2024 (Rabu)</t>
  </si>
  <si>
    <t>Penal 1 - Prof. Madya Dr. Wan Farha binti Wan Zulkiffli (tukar)</t>
  </si>
  <si>
    <t>Dr. Mohamad Hazeem bin Mohmad Sidik</t>
  </si>
  <si>
    <t>Mesyuarat Jawatankuasa Pascasiswazah Bil. 9/2024 (kali ke-50)</t>
  </si>
  <si>
    <t>Nurul Faizah binti Halim</t>
  </si>
  <si>
    <t>A21E030P</t>
  </si>
  <si>
    <t>The Internal and Externel Factors of Franchisee Survivability: The Mediating Role of Market Orientation</t>
  </si>
  <si>
    <t>14 Oktober 2024 (Isnin)</t>
  </si>
  <si>
    <t>1) Prof. Madya Ts. Dr. Zuraimi bin abdul Aziz (Penyelia Utama)</t>
  </si>
  <si>
    <t>2) Dr. Norhafiza binti Othman (Penyelia Bersama)</t>
  </si>
  <si>
    <t>3) Dr. Nor Ashykin binti Abdul Aziz (Penyelia Bersama)</t>
  </si>
  <si>
    <t>Pengerusi - Prof. Madya Dr. Muhamad Saufi bin Che Rusuli (Tukar)</t>
  </si>
  <si>
    <t>Dr. Lu Man Hong</t>
  </si>
  <si>
    <t>Salini Aina binti Mamat</t>
  </si>
  <si>
    <t>A23D043F</t>
  </si>
  <si>
    <t xml:space="preserve">Entrepreneurial Capabilities Abortive Capacity and Support Intervention Towards Cyberpreneurship Improvement of MICRO Entrepreneurs in Kelantan </t>
  </si>
  <si>
    <t>17 Oktober 2024 (Khamis)</t>
  </si>
  <si>
    <t>1) Prof. Madya. Ts. Dr. Zailani bin Abdullah (Penyelia Utama)</t>
  </si>
  <si>
    <t>2) Dr. Nor Hafiza binti Othman (Penyelia Bersama)</t>
  </si>
  <si>
    <t>3) Dr. Mohd Safwan bin Ghazali (Penyelia Bersama)</t>
  </si>
  <si>
    <t>Mesyuarat Jawatankuasa Pascasiswazah Bil. 10/2024 (kali ke-51)</t>
  </si>
  <si>
    <t>23 Oktober 2024 (Rabu)</t>
  </si>
  <si>
    <t>Dr. Hazrina binti Hasbolah</t>
  </si>
  <si>
    <t>Prof. Madya. Ts. Dr. Zailani bin Abdullah</t>
  </si>
  <si>
    <t>Mesyuarat Jawatankuasa Pascasiswazah Bil.10/2024 (kali ke-51)</t>
  </si>
  <si>
    <t>Risnal Diansyah</t>
  </si>
  <si>
    <t>A19E0009F</t>
  </si>
  <si>
    <t>The Factors Influencing E-Learning Adoption Behaviour in Indonesia</t>
  </si>
  <si>
    <t>10 November 2024 (Ahad)</t>
  </si>
  <si>
    <t>1) Prof. Madya Dr. Noorshella binti Che Nawi (Penyelia Utama)</t>
  </si>
  <si>
    <t>Enny Widayati</t>
  </si>
  <si>
    <t>A22E120F</t>
  </si>
  <si>
    <t>Factor Influences the Business Financing of Small and Medium Manufacturing Industry In Indonesia</t>
  </si>
  <si>
    <t>11 November 2024 (Isnin)</t>
  </si>
  <si>
    <t>2) Prof. Madya Dr. Dzulkifli bin Mukhtar (Penyelia Bersama)</t>
  </si>
  <si>
    <t>Penolong Pengerusi - Dr. Nur Syakirah binti Ahmad (tukar)</t>
  </si>
  <si>
    <t>Mu Zongliang</t>
  </si>
  <si>
    <t>A22E006F</t>
  </si>
  <si>
    <t>Linkage Between Entrepreneurship Education Towards Entrepreneurial Intention Among College Students in China</t>
  </si>
  <si>
    <t>28 November 2024 (Khamis)</t>
  </si>
  <si>
    <t>2) Dr. Wan Mohd Nazdrol bin Wan Mohd Nasir (Penyelia Bersama)</t>
  </si>
  <si>
    <t>Dr. Nurul Muna binti Mohamad</t>
  </si>
  <si>
    <t>YBrs. Prof. /Dr.</t>
  </si>
  <si>
    <t>Ma Jiqiang</t>
  </si>
  <si>
    <t>A20E045F</t>
  </si>
  <si>
    <t xml:space="preserve">The effect of talent management on sales team management performance in Chinese small and medium-sized FMCG firms: the mediating role of leadership style </t>
  </si>
  <si>
    <t>26 November 2024 (Selasa)</t>
  </si>
  <si>
    <t>1) Dr. Nur Izzati binti Mohamad Anuar (Penyelia Utama)</t>
  </si>
  <si>
    <t>2) Dr. Tan Wai Hong (Penyelia Bersama)</t>
  </si>
  <si>
    <t>Pengerusi - Dr. Muhammad Jaffri bin Mohd Nasir (Tukar)
Pen. Pengerusi - Dr. Amira binti Jamil (Tukar)
Panel I - Prof. Dr. Balakrishnan a/l Parasuraman (Tukar)</t>
  </si>
  <si>
    <t>Mesyuarat Jawatankuasa Pascasiswazah Bil.11/2024 (kali ke-52)</t>
  </si>
  <si>
    <t>Rudy Asrianto</t>
  </si>
  <si>
    <t>A19E0034F</t>
  </si>
  <si>
    <t>Organization Palm Oil Mills Sustainable Competitive Advantage Through Big Data Analytics Capability In Riau Province</t>
  </si>
  <si>
    <t>DISEMBER</t>
  </si>
  <si>
    <t>DOKTOR FALSAFAH</t>
  </si>
  <si>
    <t>Nifateehah Pattanawong</t>
  </si>
  <si>
    <t>A19E043F</t>
  </si>
  <si>
    <t>The Impact of Quality Financial Accounting Information on Decision-making and Business Performance among SMEs.</t>
  </si>
  <si>
    <t>24 Disember 2024 (Selasa)</t>
  </si>
  <si>
    <t>1) Dr. Ainon @ Jamilah binti Ramli (Penyelia Utama)</t>
  </si>
  <si>
    <t>3) Dr. Siti Afiqah binti Zainuddin (Penyelia Bersama)</t>
  </si>
  <si>
    <t>Dr. Nur Izzati binti Mohamad Anuar</t>
  </si>
  <si>
    <t>SARJANA KEUSAHAWANAN</t>
  </si>
  <si>
    <t>Innocent Arinze</t>
  </si>
  <si>
    <t>A23D059F</t>
  </si>
  <si>
    <t>A Study of Different Cultural background and Societal Norm Influence Entrepreneurial Behavior and Success Rates in Kelantan</t>
  </si>
  <si>
    <t>23 Disember 2024 (Isnin)</t>
  </si>
  <si>
    <t>1) Dr. Hasannuddiin bin Hassan (Penyelia Utama)</t>
  </si>
  <si>
    <t>2) Dr. Siti Rohana binti Mohamad (Penyelia Bersama)</t>
  </si>
  <si>
    <t>3) Dr. Hanieh Alipour Bazkiaei (Penyelia Bersama)</t>
  </si>
  <si>
    <t>Pengerusi - Dr. Nur Syafiqah binti A. Samad (tukar)</t>
  </si>
  <si>
    <t>PENILAIAN SEMULA CADANGAN PENYELIDIKAN (RE-PROPOSAL DEFENSE)</t>
  </si>
  <si>
    <t>Norrini binti Muhammad</t>
  </si>
  <si>
    <t>A16E081P</t>
  </si>
  <si>
    <t>Determinants Factors of Entrepreneurial Intention and Entrepreneurial Behavior Towards Student Entrepreneurs in Malaysia Higher Education Institutions</t>
  </si>
  <si>
    <t>5 Januari 2025 (Ahad)</t>
  </si>
  <si>
    <t>Dr. Nur Ain Ayuni binti Sabri</t>
  </si>
  <si>
    <t>Mesyuarat Jawatankuasa Pascasiswazah Bil.12/2024 (kali ke-53)</t>
  </si>
  <si>
    <t>Antony Barubui</t>
  </si>
  <si>
    <t>A20D070F</t>
  </si>
  <si>
    <t>Kebolehpasaran Graduan IPTA Dalam Sektor Koperasi di Negeri Sabah</t>
  </si>
  <si>
    <t>5 Disember 2024 (Khamis)</t>
  </si>
  <si>
    <t>En. Muhammad Naqib bin Mat Yunoh</t>
  </si>
  <si>
    <t>Nur Ain Amirah binti Mohd Nazli</t>
  </si>
  <si>
    <t>A22D051F</t>
  </si>
  <si>
    <t>An In-Depth Exploration of Innovative Food Waste Management Practices at Pasar Siti Khadijah</t>
  </si>
  <si>
    <t>31 Disember 2024 (Selasa)</t>
  </si>
  <si>
    <t>Bilik IVL, UMK Kampus Kota</t>
  </si>
  <si>
    <t>1) Dr. Hana Yazmeen binti Hapiz (Penyelia Utama)</t>
  </si>
  <si>
    <t>2) Dr. Mohd Safwan bin Ghazali (Penyelia Bersama)</t>
  </si>
  <si>
    <t>JANUARI</t>
  </si>
  <si>
    <t>YBhg. Prof. / Prof. Madya/Dr.</t>
  </si>
  <si>
    <t>Mohd Hafizuddin bin Mejah</t>
  </si>
  <si>
    <t>A21E062P</t>
  </si>
  <si>
    <t>Corak Pemikiran Kepimpinan TYT Tun Setia (Dr) Haji Mohd Ali bin Rustam, Yang Di-Pertua Negri Melaka</t>
  </si>
  <si>
    <t>21 Januari 2025</t>
  </si>
  <si>
    <t>2) Dr. Siti Amaliya binti Mohd Radyi (Penyelia Bersama)</t>
  </si>
  <si>
    <t>Pengerusi - Prof. Dr. Balakrishnan a/l Parasuraman (Tukar)</t>
  </si>
  <si>
    <t>FEBRUARI</t>
  </si>
  <si>
    <t>Mesyuarat Jawatankuasa Pascasiswazah Bil.1/2025 (kali ke-54)</t>
  </si>
  <si>
    <t>Lydia Hidayu binti Lily Suhairi</t>
  </si>
  <si>
    <t>A17E064P</t>
  </si>
  <si>
    <t>E-CRM, Social Mesdia Marketing and E-Brand Equity in Hotel Industry Context: The Mediating Effect of E-Brand Experience</t>
  </si>
  <si>
    <t>16 Februari 2025 (Ahad)</t>
  </si>
  <si>
    <t>Kewangan Islam</t>
  </si>
  <si>
    <t>Siti Hanis binti Shamma</t>
  </si>
  <si>
    <t>A21D031F</t>
  </si>
  <si>
    <t>Literasi Kewangan Berdasarkan Konsep Maqasid Syariah: B40 di Kelantan</t>
  </si>
  <si>
    <t>20 Mac 2025 (Khamis)</t>
  </si>
  <si>
    <t>1) Prof. Madya Dr. Azwan bin Abdullah (Penyelia Utama)</t>
  </si>
  <si>
    <t>Shalini a/p Raja Kapol</t>
  </si>
  <si>
    <t>A22E014F</t>
  </si>
  <si>
    <t>Examining Leadership Styles Among the Multi-level Marketing (MLM) Leaders in Malaysia</t>
  </si>
  <si>
    <t>13 Mac 2025 (Khamis)</t>
  </si>
  <si>
    <t>Penolong Pengerusi - Dr. Siti Amaliya binti Mohd Radyi (Tukar)</t>
  </si>
  <si>
    <t>Prof. Madya Dr. Mohd Nazri bin Muhayiddin</t>
  </si>
  <si>
    <t>Prof. Madya Dr. Roslizawati binti Che Aziz</t>
  </si>
  <si>
    <t>Fakulti Hospitaliti, Pelancongan dan Kesejahteraan</t>
  </si>
  <si>
    <t>Muhammad Ulin Nuha</t>
  </si>
  <si>
    <t>A23E082F</t>
  </si>
  <si>
    <t>Model Strategi Pembangunan Pelancongan Halal Mampan Melalui Pelancongan berasaskan Komuniti: Kajian di Kabupaten Pati, Jawa Tengah, Indonesia.</t>
  </si>
  <si>
    <t>9 Mac 2025 (Ahad)</t>
  </si>
  <si>
    <t>Dr. Nur Farahiah binti Azmi</t>
  </si>
  <si>
    <t>Zhang Yu</t>
  </si>
  <si>
    <t>A22E163F</t>
  </si>
  <si>
    <t>The Impact of Digital Financial Inclusion and Technological Innovation in the Financial Performance of SMEs: The Mediating Effect of Financing Constraints and Financing Structure</t>
  </si>
  <si>
    <t>4 Mac 2025 (Selasa)</t>
  </si>
  <si>
    <t>1) Dr. Amira binti Jamil (Penyelia Utama)</t>
  </si>
  <si>
    <t>2) Dr. Ahmad Ridhuwan bin Abdullah (Penyelia Bersama)</t>
  </si>
  <si>
    <t>Dwi Jaya Kirana</t>
  </si>
  <si>
    <t>A24E3680F</t>
  </si>
  <si>
    <t>The Role of Sustainability Performance and External Sustainable Corporate Governance in Mitigating Earning Management</t>
  </si>
  <si>
    <t>8 April 2025 (Selasa)</t>
  </si>
  <si>
    <t>3) Dr. Ahmad Ridhuwan bin Abdullah (Penyelia Bersama)</t>
  </si>
  <si>
    <t>Dr. Mohamad Zamhari bin Tahir</t>
  </si>
  <si>
    <t>Mirza Hedismarlina Yuneline</t>
  </si>
  <si>
    <t>A23E061F</t>
  </si>
  <si>
    <t>The Adoption of Sustainability Practice Among Restaurant Entrepreneurs in Bandung  Using Entrepreneurial Orientation and Digital Financial  Inclusion as Moderator</t>
  </si>
  <si>
    <t>25 Mac 2025 (Selasa)</t>
  </si>
  <si>
    <t>Pengerusi - Prof. Madya Dr. Dzulkifli bin Mukhtar (Tukar ker Panel 1)
Panel 1 - Dr. Siti Fariha (Tukar)</t>
  </si>
  <si>
    <t>Prof. Madya Dr. Mohd Asrul Hery bin Ibrahim</t>
  </si>
  <si>
    <t>Aspiyati binti Jusoh</t>
  </si>
  <si>
    <t>A23E2784F</t>
  </si>
  <si>
    <t>Fostering the Entrepreneurs Capability in Sustaining The Halal Business Performance Focusing on Bumiputera MSMEe in East Coast of Malaysia.</t>
  </si>
  <si>
    <t>15 April 2025 (Rabu)</t>
  </si>
  <si>
    <t>1) Prof. Madya Dr. Hazriah binti Hasan (Penyelia Utama)</t>
  </si>
  <si>
    <t>2) Dr. Mardhiah binti Kamaruddin (Penyelia Bersama)</t>
  </si>
  <si>
    <t>3) Dr. Wan Marhaini binti Wan Omar (Penyelia Luar)</t>
  </si>
  <si>
    <t>Dr. Nurul Fadzlyn binti Enche Nadzmy</t>
  </si>
  <si>
    <t>Mochamad Purnomo</t>
  </si>
  <si>
    <t>A23E094F</t>
  </si>
  <si>
    <t>The Impact of Innovation and Collaboration on The Sustainable Performance of Small and Medium Enterprises in Indonesia: The Mediating Role of The Knowledge Management</t>
  </si>
  <si>
    <t>2) Dr. Ratih Pratiwi (Penyelia Luar)</t>
  </si>
  <si>
    <t>Jin Lili</t>
  </si>
  <si>
    <t>A21E006F</t>
  </si>
  <si>
    <t>Consumers Impulse Buying on Jewelry Products Through Live Streaming Commerce in China: A Mediating Role of Perceived Enjoyment</t>
  </si>
  <si>
    <t>16 April 2025 (Rabu)</t>
  </si>
  <si>
    <t>1) Prof. Madya Dr. Wan Farha binti Wan Zulkiffli (Penyelia Utama)</t>
  </si>
  <si>
    <t xml:space="preserve">Dr Nurnaddia binti Nordin </t>
  </si>
  <si>
    <t xml:space="preserve">Dr. Nurhaiza binti Nordin </t>
  </si>
  <si>
    <t>Gao Wei</t>
  </si>
  <si>
    <t>A23E064F</t>
  </si>
  <si>
    <t>The Impact of ESG Practice, Government Subsidy, Managerial Ownership on Corporate Performance: Moderating with Economic Policy Uncertainty</t>
  </si>
  <si>
    <t>3) Dr. Zaminor binti Zamzamir @ Zamzamin (Penyelia Bersama)</t>
  </si>
  <si>
    <t>Dr. Siti Amirah binti Ahmad Tarmizi</t>
  </si>
  <si>
    <t>Fakulti Pengajian Bahasa Dan Pembangunan Insan</t>
  </si>
  <si>
    <t>Liu Liming</t>
  </si>
  <si>
    <t>A20E0139F</t>
  </si>
  <si>
    <t>Teachers’ Influence Mediate the Impact of Achievement Growth Performance among Local University Undergraduate Students in Jiangxi China</t>
  </si>
  <si>
    <t>9 April 2025 (Rabu)</t>
  </si>
  <si>
    <t>2) Prof. Dr. Naresh Kumar a/l Samy (Penyelia Bersama)</t>
  </si>
  <si>
    <t>3) Dr. Julia Tan Yin Yin (Penyelia Bersama)</t>
  </si>
  <si>
    <t>Pengerusi - Dr. Nik Syuhailah binti Nik Hussin (Tukar)</t>
  </si>
  <si>
    <t>MAC</t>
  </si>
  <si>
    <t>Mesyuarat Jawatankuasa Pascasiswazah Bil.2/2025 (kali ke-55)</t>
  </si>
  <si>
    <t>Nusaibah binti Hilaluddin</t>
  </si>
  <si>
    <t>A20E0166F</t>
  </si>
  <si>
    <t>Ar-Rahn sebagai Sumber Dana Altarnatif Perusahaan Kecil dan Sederhana (PKS) berpandukan Aplikasi Maqasid Syariah</t>
  </si>
  <si>
    <t>14 April 2025 (Isnin)</t>
  </si>
  <si>
    <t>Muhammad Fahimi bin Sofian</t>
  </si>
  <si>
    <t>A18E030F</t>
  </si>
  <si>
    <t>Implementation of Entrepreneural Apprenticeship-Based Learning Practice in Malaysian Higher Education Institutions</t>
  </si>
  <si>
    <t>7 April 2025 (Isnin)</t>
  </si>
  <si>
    <t>Pengerusi - Dr. Mohd Ikhwan bin Aziz (Tukar)</t>
  </si>
  <si>
    <t>Dr. Noormariana binti Mohd Din</t>
  </si>
  <si>
    <t>Hammam Zaki</t>
  </si>
  <si>
    <t>A19E0027F</t>
  </si>
  <si>
    <t>The Effect of Organizational Citizenship Behaviour and Islamic Work Ethics on Relationships Between Islamic Leadership and Lecturers' Performance of Islamic Universities in Riau Province, Indonesia</t>
  </si>
  <si>
    <t>13 April 2025 (Ahad)</t>
  </si>
  <si>
    <t>1) Prof. Dr. Naresh Kumar a/l Samy (Penyelia Utama)</t>
  </si>
  <si>
    <t>Panel 1 - Prof. Madya Dr. Azwan bin Abdullah (Tukar)
Panel 2 - Dr muhammad Zulfaris bin Mohd Salleh (Tukar)</t>
  </si>
  <si>
    <t>27 Mac 2025 (Khamis)</t>
  </si>
  <si>
    <t>Mimi Zazira binti Hashim</t>
  </si>
  <si>
    <t>A16E069P</t>
  </si>
  <si>
    <t>Determinants of Digital Workplace Tools Adoption using Unified Theory of Acceptance and the Use of Technology Among Medium Enterprise Employees</t>
  </si>
  <si>
    <t>24 April 2025 (Khamis)</t>
  </si>
  <si>
    <t>Bilik Mesyuarat Pusat Antarabangsa (IO)</t>
  </si>
  <si>
    <t>Mesyuarat Jawatankuasa Pascasiswazah Bil.3/2025 (kali ke-56)</t>
  </si>
  <si>
    <t>The Influence of PEC and CP towards Customer Intention ti Use Mobile Banking Applications in Hangzhou City Commercial Bank: The Mediating Effect of PEOU</t>
  </si>
  <si>
    <t>27 April 2025 (Ahad)</t>
  </si>
  <si>
    <t>Endhyta Wisaksono</t>
  </si>
  <si>
    <t>A22D130F</t>
  </si>
  <si>
    <t>The Mediating Role of Integrated Reporting: Analyzing Firm Characteristics and Performance in Malaysian Public Firms</t>
  </si>
  <si>
    <t>20 April 2025 (Ahad)</t>
  </si>
  <si>
    <t>3) Dr. Siti Fariha binti Muhamad (Penyelia Bersama)</t>
  </si>
  <si>
    <t>APRIL</t>
  </si>
  <si>
    <t>Weerasak Sojipun</t>
  </si>
  <si>
    <t>A19E042F</t>
  </si>
  <si>
    <t>Factors Influence Toward Competitive Advantage of Logistic Service Providers in Saouthern of Thailand</t>
  </si>
  <si>
    <t>29 April 2025 (Selasa)</t>
  </si>
  <si>
    <t>2) Dr. Rosmaizura binti Mohd Zain (Penyelia Bersama)</t>
  </si>
  <si>
    <t>Hasry Sham bin Chasmen</t>
  </si>
  <si>
    <t>A23E0778F</t>
  </si>
  <si>
    <t>Faktor Mempengaruhi Kejayaan Usahawan Muda Dalam Perniagaan Berasaskan Kerajaan Di Malaysia</t>
  </si>
  <si>
    <t>15 Mei 2025 (Khamis)</t>
  </si>
  <si>
    <t>Pengerusi - Prof. Madya Dr. Dzulkifli bin Mukhtar (tukar - Bercuti)</t>
  </si>
  <si>
    <t>Dr. Abdul Aziz bin Yaacob</t>
  </si>
  <si>
    <t>Wang Yajuan</t>
  </si>
  <si>
    <t>A23E011F</t>
  </si>
  <si>
    <t>An Examination of Employee Participation in Guangzhou in China</t>
  </si>
  <si>
    <t>22 Mei 2025 (Khamis)</t>
  </si>
  <si>
    <t>2) Dr. Adi Aizat bin Yajid (Penyelia Bersama)</t>
  </si>
  <si>
    <t>1) Panel 1 - Prof. Madya Dr. Mohd Nazri bin Zakaria (Tukar) 
2) Panel 1 - Dr. Hasannuddiin bin Hassan (tukar)</t>
  </si>
  <si>
    <t>Dr. Fatihah binti Mohd</t>
  </si>
  <si>
    <t>Dr. Yukhtamarani a/p Permarupan</t>
  </si>
  <si>
    <t>Malaysian Graduate School of Entrepreneurship and Business (MGSEB)</t>
  </si>
  <si>
    <t>Zeng Chunlong</t>
  </si>
  <si>
    <t>A20E0141F</t>
  </si>
  <si>
    <t>The Moderating Role of Transactional Leadership Style in The Relationship between Objective and Subjective Factors and Subjective Career Success Among Academic Employee in Private Universities of Guangdong, China</t>
  </si>
  <si>
    <t>13 Mei 2025 (Selasa)</t>
  </si>
  <si>
    <t>Pengerusi - Dr. Nur Izzati binti Mohamad Anuar (tukar - mengetuai Mesy. Vetting Soalan peperiksaan akhir)</t>
  </si>
  <si>
    <t>Hu Peng</t>
  </si>
  <si>
    <t>A21D071F</t>
  </si>
  <si>
    <t>The Impact of School-Enterprise Co-operation on Graduates Employability in China’s Universities.</t>
  </si>
  <si>
    <t>30 April 2025 (Rabu)</t>
  </si>
  <si>
    <t>Pengerusi - Prof. Madya Dr. Wan Farha binti Wan Zulkiffli (tukar)</t>
  </si>
  <si>
    <t>Saiful Bahri</t>
  </si>
  <si>
    <t>Decomposing Overconfidence: A Multidimensional Investigation Into the Effects of Behavioral Biases on Investment Decisions of Young Investors.</t>
  </si>
  <si>
    <t>20 Mei 2025 (Selasa)</t>
  </si>
  <si>
    <t>2) Prof. Madya Dr. Mohd Zulkifli bin Muhammad (Penyelia Bersama)</t>
  </si>
  <si>
    <t>Pengerusi - Dr. Mohd Afifie bin Mohd Alwi (tukar - menghadiri prog di Machang)</t>
  </si>
  <si>
    <t>Pengurusan Logistik dan Operasi</t>
  </si>
  <si>
    <t>Adeh Rose</t>
  </si>
  <si>
    <t>A22E132F</t>
  </si>
  <si>
    <t>An Empirical Study on Factors Influencing Supply Chain Performance in The Malaysian Palm Oil Industry</t>
  </si>
  <si>
    <t>19 Mei 2025 (Isnin)</t>
  </si>
  <si>
    <t>2) Dr. Kasmaruddin bin Che Hussin (Penyelia Bersama)</t>
  </si>
  <si>
    <t>1) Penolong Pengerusi - Dr. Mohamad Hazeem bin Mohmad Sidik (Tukar)
2) Pengerusi - Dr. Nur Fadiah binti Mohd Zawawi (Tukar - panel 2)
3) Panel 2 - Dr. Razman Hafifi bin Redzuan (Tukar) 
4) Pengerusi - Dr. Tahirah binti Abdullah (tukar)</t>
  </si>
  <si>
    <t>A23E043F</t>
  </si>
  <si>
    <t>The Impact of Big Data Analytics Capability on Cyberpreneurship Empowerment of Micro-Entrepreneurs in Kelantan, Malaysia</t>
  </si>
  <si>
    <t>26 Mei 2025 (Isnin)</t>
  </si>
  <si>
    <t>Mahathir bin Muhamad</t>
  </si>
  <si>
    <t>A17E021P</t>
  </si>
  <si>
    <t>Exploring the Dynamics of Digital Banking Adoption in Malaysia: The Role of User Perceptions</t>
  </si>
  <si>
    <t>2) Prof. Madya Dr. Mohd Nazri bin Muhayiddin (Penyelia Bersama)</t>
  </si>
  <si>
    <t>Irekeola Annat Adebola</t>
  </si>
  <si>
    <t>A21D011F</t>
  </si>
  <si>
    <t>The Relationship Between System Quality and Information Quality on Nigerians e-Commerce Users Satisfaction and Intention to Revisit.</t>
  </si>
  <si>
    <t>27 Mei 2025 (Selasa)</t>
  </si>
  <si>
    <t>1) Prof. Madya Dr. Muhammad Ashlyzan bin Razik (Penyelia Utama)</t>
  </si>
  <si>
    <t>2) Dr. Mohamad Hazeem bin Mohmad Sidik (Penyelia Bersama)</t>
  </si>
  <si>
    <t xml:space="preserve">Prof. Dr. Mohammad bin Ismail </t>
  </si>
  <si>
    <t>YBhg. Prof./Dr./Puan</t>
  </si>
  <si>
    <t>The Impact of eWOM Characteristics on Travel Intention Among Generation Z in China: Mediating by Attitude Towards Information Adoption</t>
  </si>
  <si>
    <t>21 Mei 2025 (Rabu)</t>
  </si>
  <si>
    <t>Pengerusi - Dr. Norfazlirda binti Hairani (Tukar)</t>
  </si>
  <si>
    <t>Nur Athirah binti Mohd Aluwi</t>
  </si>
  <si>
    <t>A20D0211F</t>
  </si>
  <si>
    <t>Corporate Ethics Commitment to Enhance Financial Reporting Quality for Public Listed Companies in Malaysia</t>
  </si>
  <si>
    <t>2) Prof. Dr. Mohd Nor Hakimin bin Yusof (Penyelia Bersama)</t>
  </si>
  <si>
    <t>Dr. Razman Hafifi bin Redzuan</t>
  </si>
  <si>
    <t>Mesyuarat Jawatankuasa Pascasiswazah Bil.4/2025 (kali ke-57)</t>
  </si>
  <si>
    <t>A Study Of Consumption Intention Of The Coffee Shop In Guangzhou Area: Mediating Effects From Satisfaction</t>
  </si>
  <si>
    <t>25 Mei 2025 (Ahad)</t>
  </si>
  <si>
    <t>2) Dr. Syarizal bin Abdul Rahim (Penyeia Bersama)</t>
  </si>
  <si>
    <t xml:space="preserve">Prof. Dr. Naresh Kumar a/l Samy </t>
  </si>
  <si>
    <t>Ahmad Syakir bin Junoh @ Ismail</t>
  </si>
  <si>
    <t>A23E025F</t>
  </si>
  <si>
    <t>Relationships Between Leadership Strategies, Regulatory Focus and Entrepreneurial Behavior among Academics in Malaysian Public Higher Education Institutions</t>
  </si>
  <si>
    <t>10 Jun 2025 (Rabu)</t>
  </si>
  <si>
    <t>Setyo Mahanani</t>
  </si>
  <si>
    <t>A23E079F</t>
  </si>
  <si>
    <t>The Influence Of Corporate Financial Factors On Tax Aggressiveness Moderated By Corporate Governance In Indonesia</t>
  </si>
  <si>
    <t>24 Jun 2025 (Selasa)</t>
  </si>
  <si>
    <t>Dr. Syamsuriana Binti Sidek</t>
  </si>
  <si>
    <t>Zhou Chunmei</t>
  </si>
  <si>
    <t>I20E0223F</t>
  </si>
  <si>
    <t>Entrepreneurial Intention of Urban Youth in China</t>
  </si>
  <si>
    <t>22 Jun 2025 (Ahad)</t>
  </si>
  <si>
    <t>1) Dr. Norzalizah binti Bahari (Penyelia Utama)</t>
  </si>
  <si>
    <t>2) Dr. Hasannuddiin bin Hassan (Penyelia Bersama)</t>
  </si>
  <si>
    <t xml:space="preserve">Dr. Ahmad Ridhuwan Bin Abdullah </t>
  </si>
  <si>
    <t>Wan Yusrol Rizal bin Wan Yusof</t>
  </si>
  <si>
    <t>A23E2785P</t>
  </si>
  <si>
    <t>Investigating the Nexus of Sustainability and Performance of Islamic Banks in Asean-5 Countries</t>
  </si>
  <si>
    <t>29 Jun 2025 (Ahad)</t>
  </si>
  <si>
    <t>3) Prof. Dr. Baharom bin Abdul Hamid (Penyelia Luar)</t>
  </si>
  <si>
    <t>Muhamad Afifizuhdi bin Muhamad Sukri</t>
  </si>
  <si>
    <t>A22E049F</t>
  </si>
  <si>
    <t>The Mediating Role of Emotional Labor on Relationships Between Workplace Incivility and Emotional Exhaustion Among Quality Control Managers in Malaysia</t>
  </si>
  <si>
    <t>25 Jun 2025 (Rabu)</t>
  </si>
  <si>
    <t>Abdul Ganiw Hussein</t>
  </si>
  <si>
    <t>A24E3681F</t>
  </si>
  <si>
    <t>The Role of Green Supply Chain Management and Government Regulations</t>
  </si>
  <si>
    <t>1 Julai 2025 (Rabu)</t>
  </si>
  <si>
    <t>Adam Osman Oscar</t>
  </si>
  <si>
    <t>A24E2832F</t>
  </si>
  <si>
    <t>Green Public Procurement in Ghana: An Analysis of Environmental Sustainability in Public Procurement</t>
  </si>
  <si>
    <t>13 Julai 2025 (Ahad)</t>
  </si>
  <si>
    <t>Pengerusi - Prof. Madya Dr. Muhamad Saufi bin Che Rusuli (Tukar - Menyantuni delegasi Gabenor Thailand di UMK Jeli)</t>
  </si>
  <si>
    <t>Dr. Nor Asma Binti Ahmad</t>
  </si>
  <si>
    <t>Yusnita Octafilia Theresia A Yesu Infante</t>
  </si>
  <si>
    <t>A22E167F</t>
  </si>
  <si>
    <t>The Impact of Corporate Governance and ESG Disclosure on The Performance of Indonesia-Listed Firms</t>
  </si>
  <si>
    <t>8 Julai 2025 (Selasa)</t>
  </si>
  <si>
    <t>1) Dr. Zaminor binti Zamzamir @ Zamzamin (Penyelia Utama)</t>
  </si>
  <si>
    <t xml:space="preserve">2) Dr. Ahmad Ridhuwan Bin Abdullah (Penyelia Bersama) </t>
  </si>
  <si>
    <t>Pengerusi - Prof. Madya. Dr. Mohd Zulkifli bin Muhammad (tukar - pembedahan mata)</t>
  </si>
  <si>
    <t>Prof. Madya Dr. Mohd Zain bin Mubarak</t>
  </si>
  <si>
    <t>Khaulah binti Hilaluddin</t>
  </si>
  <si>
    <t>A20E0163F</t>
  </si>
  <si>
    <t>Teori Keusahawanan Penciptaan Perniagaan Baharu Menurut Perspektif Islam Berdasarkan Al-Kutub Al-Tis'ah</t>
  </si>
  <si>
    <t>26 Jun 2025 (Khamis)</t>
  </si>
  <si>
    <t>1) Prof. Madya Dr. Mohd Nazri bin Muhayiddin (Penyelia Utama)</t>
  </si>
  <si>
    <t>2) Prof. Madya. Dr. Mohd Zulkifli bin Muhammad (Penyelia Bersama)</t>
  </si>
  <si>
    <t>3) Prof. Madya Dr. Anis Amira binti Ab Rahman (Penyelia Bersama)</t>
  </si>
  <si>
    <t>Pengerusi - Prof. Madya Dr. Azwan bin Abdullah (tukar - program lapangan di Tumpat utk lawatan pemantauan geran TRGS bersama UMS)
Pengerusi - Dr. Siti Rohana binti Mohamad (Tukar)</t>
  </si>
  <si>
    <t>YBhg. Prof. /Prof. Madya/Dr.</t>
  </si>
  <si>
    <t>Mesyuarat Jawatankuasa Pascasiswazah Bil.5/2025 (kali ke-58)</t>
  </si>
  <si>
    <t>Aimi Nadia binti Ibrahim @ Zakaria</t>
  </si>
  <si>
    <t>A19E001F</t>
  </si>
  <si>
    <t>Brand Experience, Brand Trust and Brand Love Toward Brand Loyalty in Malaysia: The Context of Private Label Brands</t>
  </si>
  <si>
    <t>16 Jun 2025 (Isnin)</t>
  </si>
  <si>
    <t>09.00 pagi</t>
  </si>
  <si>
    <t>Putri Jamilah</t>
  </si>
  <si>
    <t>A19E0042F</t>
  </si>
  <si>
    <t>Household Finance Management Based On Maqasid Shari'ah: Case of Riau.</t>
  </si>
  <si>
    <t>4 Ogos 2025 (Isnin)</t>
  </si>
  <si>
    <t>Prof. Madya Dr. Azwan Bin Abdullah (Penyelia Utama)</t>
  </si>
  <si>
    <t>Pen. Pengerusi - Dr. Muhammad Firdaus bin Zakaria (Tukar)
Penolong Pengerusi - Dr. Nurul Muna binti Mohamad (Tukar)</t>
  </si>
  <si>
    <t xml:space="preserve">Nursyahiyatul Anis Binti Othman </t>
  </si>
  <si>
    <t>Cost Analysis of Melioidosis: A Retrospective Study in Northern Malaysia.</t>
  </si>
  <si>
    <t>18 Ogos 2025 (Isnin)</t>
  </si>
  <si>
    <t>Dr. Mardhiah Binti Kamaruddin (Penyelia Utama)</t>
  </si>
  <si>
    <t>Prof. Madya Dr. Hazriah Binti Hasan (Penyelia Bersama)</t>
  </si>
  <si>
    <t>Factor Affecting Job Satisfaction and Job Performance of Nurses in Hunan Public Hospitals</t>
  </si>
  <si>
    <t>17 Ogos 2025 (Ahad)</t>
  </si>
  <si>
    <t>Prof. Madya Dr. Muhamad Saufi bin Che Rusuli (Penyelia Utama)</t>
  </si>
  <si>
    <t>Prof. Madya Dr. Noorshella binti Che Nawi (Penyelia Bersama)</t>
  </si>
  <si>
    <t>Dr. Wan Mohd Nazdrol bin Wan Mohd Nasir (Penyelia Bersama)</t>
  </si>
  <si>
    <t>Pengerusi - Dr. Nur Izzati binti Mohamad Anuar (tukar - MC)</t>
  </si>
  <si>
    <t>Rika Septianingsih</t>
  </si>
  <si>
    <t>A19E0030F</t>
  </si>
  <si>
    <t>Awareness of Baitul Maal Wat Tamwil (BMT) Among the Muslim Community in Riau Province: The Mediation of Maqasid Shari'ah</t>
  </si>
  <si>
    <t>05 Ogos 2025 (Selasa)</t>
  </si>
  <si>
    <t>Dr. Noormariana binti Mohd Din (Penyelia Bersama)</t>
  </si>
  <si>
    <t>Dr. Muhammad Zulfaris bin Mohd Salleh (Penyelia Bersama)</t>
  </si>
  <si>
    <t>Panel 1 - Prof. Madya Dr. Hazriah binti Hasan (tukar - kekangan kerja hakiki pada tarikh tersebut)</t>
  </si>
  <si>
    <t xml:space="preserve">En. Mohammad Nizamuddin bin Abdul Rahim </t>
  </si>
  <si>
    <t>YBrs. Prof. Madya/Dr./En.</t>
  </si>
  <si>
    <t>Mohd Azam bin Abdul Aziz</t>
  </si>
  <si>
    <t>A23E2810F</t>
  </si>
  <si>
    <t>The Adoption of Artificial Intelligence (AI) Influences the Financial Audit Quality (AQ) Within the Context of Malaysian Audit Firms</t>
  </si>
  <si>
    <t>22 Oktober 2025 (Rabu)</t>
  </si>
  <si>
    <t>Panel 2 - Prof. Madya Dr. Mohd Nazri bin Muhayiddin (tukar)</t>
  </si>
  <si>
    <t>UMK.A01.600-8/4/7 (26)</t>
  </si>
  <si>
    <t>10 Ogos 2025</t>
  </si>
  <si>
    <t>Md Arif Mia</t>
  </si>
  <si>
    <t>A23D026F</t>
  </si>
  <si>
    <t>Optimizing Supply Chain Management for Speed Delivery and Enhanced Customer Satisfaction.</t>
  </si>
  <si>
    <t>20 Ogos 2025 (Rabu)</t>
  </si>
  <si>
    <t>Dr. Hasannuddiin bin Hassan (Penyelia Utama)</t>
  </si>
  <si>
    <t>Dr. Muhammad Khalilur Rahman (Penyelia Bersama)</t>
  </si>
  <si>
    <t>Pengerusi - Dr. Siti Rohana binti Mohamad (tukar)</t>
  </si>
  <si>
    <t>5 Ogos 2025</t>
  </si>
  <si>
    <t>Dr. Farah Hanan binti Muhamad</t>
  </si>
  <si>
    <t>Wang Hailong</t>
  </si>
  <si>
    <t>A21D070F</t>
  </si>
  <si>
    <t>Factors Influencing E-Commerce Adoption in China: The Role of Organizational Readiness</t>
  </si>
  <si>
    <t>25 Ogos 2025 (Isnin)</t>
  </si>
  <si>
    <t>Dr. Nur Izzati binti Mohamad Anuar (Penyelia Utama)</t>
  </si>
  <si>
    <t>Prof. Dr. Mohammad bin ismail (Penyelia Bersama)</t>
  </si>
  <si>
    <t>Pen. Pengerusi - Dr. Muhammad Jaffri bin Mohd Nasir (tukar-berada di KPT, Putrajaya)</t>
  </si>
  <si>
    <t>UMK.A01.600-8/4/7 (29)</t>
  </si>
  <si>
    <t>The Mediating role of Effective Management in the Relationship between financial Accounting Information Quality (FAIQ) and Business Performance on SMEs in South Thailand Province</t>
  </si>
  <si>
    <t>27 Ogos 2025 (Rabu)</t>
  </si>
  <si>
    <t>Dr. Ainon @ Jamilah binti Ramli (Penyelia Utama)</t>
  </si>
  <si>
    <t>Prof. Dr. Mohd Nor Hakimin bin Yusoff (Penyelia Bersama)</t>
  </si>
  <si>
    <t>Dr. Siti Afiqah binti Zainuddin (Penyelia Bersama)</t>
  </si>
  <si>
    <t>UMK.A01.600-8/4/7 (27)</t>
  </si>
  <si>
    <t>Azian Binti Othman</t>
  </si>
  <si>
    <t>A24E2858F</t>
  </si>
  <si>
    <t>Linkage Between Digital Marketing Impact with Mediating Effect of Artificial Intelligence Adoption Towards SME Development Industry in Malaysia</t>
  </si>
  <si>
    <t>21 Ogos 2025 (Khamis)</t>
  </si>
  <si>
    <t>UMK.A01.600-8/4/7 (25)</t>
  </si>
  <si>
    <t>Muhammad Shahrim Bin Sehak</t>
  </si>
  <si>
    <t>A24E2831F</t>
  </si>
  <si>
    <t>Factors Influencing Customer Behaviour towards Shariah-Compliant Digital Gold Savings in Malaysia: The Mediating Effect of Customer Intentions.</t>
  </si>
  <si>
    <t>28 Ogos 2025 (Khamis)</t>
  </si>
  <si>
    <t>Prof. Madya Dr.Mohd Zulkifli bin Muhammad (Penyelia Utama)</t>
  </si>
  <si>
    <t>UMK.A01.600-8/4/7 (30)</t>
  </si>
  <si>
    <t>YBrs. Prof./Dr.</t>
  </si>
  <si>
    <t>Pengaruh Kepimpinan Transformasi dan Komitmen Organisasi Terhadap Prestasi Kerja Pensyarah Universiti Muhammadiyah di Indonesia : Pengaruh Pengantara Kepuasan Kerja dan Penyederhanaan Kepimpinan Rohani</t>
  </si>
  <si>
    <t>02.30 petang</t>
  </si>
  <si>
    <t>Dr. Nurul Hafizah binti Mohd Yasin (Penyelia Utama)</t>
  </si>
  <si>
    <t>UMK.A01.600-8/4/7 (28)</t>
  </si>
  <si>
    <t>Mesyuarat Jawatankuasa Pascasiswazah Bil.6/2025 (kali ke-59)</t>
  </si>
  <si>
    <t>Wang Qianyu</t>
  </si>
  <si>
    <t>A23E063F</t>
  </si>
  <si>
    <t>The Impact of Agricultural Assistance Live Streaming Marketing on Consumers’ Purchase Intention: A SOR Theory-Based Mediation Model of Emotional Resonance</t>
  </si>
  <si>
    <t>21 September 2025 (Ahad)</t>
  </si>
  <si>
    <t>Dr. Nik Syuhailah binti Nik Hussin (Penyelia Utama)</t>
  </si>
  <si>
    <t>Pengerusi - Dr. Suhaila binti Abdul Kadir (Menghadiri program di KPT)</t>
  </si>
  <si>
    <t>11 September 2025</t>
  </si>
  <si>
    <t>We regret</t>
  </si>
  <si>
    <t>UNSUCCESSFUL</t>
  </si>
  <si>
    <t>proposal defense</t>
  </si>
  <si>
    <t>Yulekhah Ariyanti</t>
  </si>
  <si>
    <t>A23E080F</t>
  </si>
  <si>
    <t>The Influence of Interactive, Sense of Community, Streamer Attractiveness and Information Quality on Customer Loyalty Among Generation Z: Mediating Effect of live Streaming Engagement</t>
  </si>
  <si>
    <t>5 November 2025 (Rabu)</t>
  </si>
  <si>
    <t>Prof. Madya Dr. Wan Farha binti Wan Zulkiffli (Penyelia Utama)</t>
  </si>
  <si>
    <t>Dr. Nur Izzati binti Mohamad Anuar (Penyelia Bersama)</t>
  </si>
  <si>
    <t>5 Oktober 2025 (Ahad)</t>
  </si>
  <si>
    <t>Dr. Noor Raihani binti Zainol (Penyelia Utama)</t>
  </si>
  <si>
    <t>Prof. Dr. Naresh Kumar a/l Samy (Penyelia Bersama)</t>
  </si>
  <si>
    <t>Dr. Julia Tan Yin Yin (Penyelia Bersama)</t>
  </si>
  <si>
    <t>panel 2 - Dr. Siti Amirah binti Ahmad Tarmizi (Kekangan tugas)</t>
  </si>
  <si>
    <t>UMK.A01.600-8/4/7 (31)</t>
  </si>
  <si>
    <t>PRE-VIVA VOCE</t>
  </si>
  <si>
    <t>pre-viva voce</t>
  </si>
  <si>
    <t>Hubungan Kompetensi Keusahawanan Terhadap Prestasi Koperasi Sekolah Melalui Tingkah Laku Kepimpinan Transformasi Anggota Lembaga Koperasi Sekolah di Malaysia</t>
  </si>
  <si>
    <t>15 Oktober 2025 (Rabu)</t>
  </si>
  <si>
    <t>Prof. Dr. Roselina binti Ahmad Saufi (Penyelia Utama)</t>
  </si>
  <si>
    <t>Dr. Noor Raihani binti Zainol (Penyelia Bersama)</t>
  </si>
  <si>
    <t>Pengerusi - Dr. Shah Iskandar Fahmie bin Ramlee - ke Kuala Lumpur bg program Malaysia University International Leadership pd 15-17hb.</t>
  </si>
  <si>
    <t>22 September 2025</t>
  </si>
  <si>
    <t>NOVEMBER</t>
  </si>
  <si>
    <t>YBrs. Dr./ Tuan</t>
  </si>
  <si>
    <t>Mesyuarat Jawatankuasa Pascasiswazah Bil.7/2025 (kali ke-60)</t>
  </si>
  <si>
    <t>Ak Wais Mahbub</t>
  </si>
  <si>
    <t>A22E151F</t>
  </si>
  <si>
    <t>A Study into the Financial Inclusion and Digital Financial Services (DFS) for the Subjective Financial Well-Being (SFWB) of Unbanked Foreign Workers in Malaysia</t>
  </si>
  <si>
    <t>2 Disember 2025 (Selasa)</t>
  </si>
  <si>
    <t>Prof. Dato' Noor Azizi bin Ismail (Penyelia Bersama)</t>
  </si>
  <si>
    <t>Dr. Norzalizah binti Bahari (Penyelia Bersama)</t>
  </si>
  <si>
    <t>Panel 1 - Dr. Mohd Rushdan bin Yasoa’ (tarik diri: tajuk penyelidikan bukan bidang)</t>
  </si>
  <si>
    <t>UMK.A01.600-8/4/7 JLD. 2 (2)</t>
  </si>
  <si>
    <t xml:space="preserve">OKTOBER </t>
  </si>
  <si>
    <t>Aiman Shah bin Abdul Khalif</t>
  </si>
  <si>
    <t>A23D091P</t>
  </si>
  <si>
    <t>Dorongan, Persepsi dan Nilai Keusahawanan dalam Pembelian Emas: Satu Kajian Kualitatif Berteraskan Maqasid Syariah</t>
  </si>
  <si>
    <t>1 Disember 2025 (Isnin)</t>
  </si>
  <si>
    <t>Penolong Pengerusi - Dr. Nurul Muna binti Mohamad (cuti)</t>
  </si>
  <si>
    <t>UMK.A01.600-8/4/7 JLD. 2 (6)</t>
  </si>
  <si>
    <t>Amni binti Mohd Adnan</t>
  </si>
  <si>
    <t>A18E010F</t>
  </si>
  <si>
    <t>Kesejahteraan Kewangan Berdasarkan Konsep Maqasid Syariah: Kajian Kes Penerima Zakat Pendidikan Fisabilillah di IPTA Dalam Pengurusan Perbelanjaan</t>
  </si>
  <si>
    <t>25 November 2025 (Selasa)</t>
  </si>
  <si>
    <t>Prof. Madya Dr.Mohd Zulkifli bin Muhammad (Penyelia Bersama)</t>
  </si>
  <si>
    <t>Penolong Pengerusi - Dr. Muhammad Zulfaris bin Mohd Salleh (urusan peribadi)</t>
  </si>
  <si>
    <t>UMK.A01.600-8/4/7 JLD. 2 (4)</t>
  </si>
  <si>
    <t>Dr. Yusmazida binti Mohs Yusoff</t>
  </si>
  <si>
    <t>Yusmawati binti Hussain</t>
  </si>
  <si>
    <t>A18E032F</t>
  </si>
  <si>
    <t>The Factors Influencing Employee Retention in Peninsular Malaysia SME Industry and Employee Empowerment as Moderator</t>
  </si>
  <si>
    <t>24 November 2025 (Isnin)</t>
  </si>
  <si>
    <t>Prof. Madya Dr. Mohd Nazri bin Zakaria (Penyelia Utama)</t>
  </si>
  <si>
    <t>UMK.A01.600-8/4/7 JLD. 2 (3)</t>
  </si>
  <si>
    <t>Amira Nur Syafiah binti Mohamad</t>
  </si>
  <si>
    <t>The Mediating Effect of Trainee Satisfaction on the Relationship between Service Quality and Continuous Intention Among Training Providers at East Coast Region in Malaysia</t>
  </si>
  <si>
    <t>24 Disember 2025 (Rabu)</t>
  </si>
  <si>
    <t>Pn. Nadia Hanum binti Amuriddin (Penyelia Bersama)</t>
  </si>
  <si>
    <t>Pengerusi - Dr. Rikinorhakis bin Ridzwan (Tukar)</t>
  </si>
  <si>
    <t>UMK.A01.600-8/4/7 JLD. 2 (7)</t>
  </si>
  <si>
    <t>YBrs. Prof. Madya/Dr./Pn.</t>
  </si>
  <si>
    <t>The moderating effects of USD Cycle and RMB Exchange Rate on Capital Market Linkage in China</t>
  </si>
  <si>
    <t>26 November 2025 (Rabu)</t>
  </si>
  <si>
    <t>Dr. Nurhaiza binti Nordin (Penyelia Utama)</t>
  </si>
  <si>
    <t>Dr Nurnaddia binti Nordin (Penyelia Bersama)</t>
  </si>
  <si>
    <t>UMK.A01.600-8/4/7 JLD. 2 (5)</t>
  </si>
  <si>
    <t>Mesyuarat Jawatankuasa Pascasiswazah Bil.8/2025 (kali ke-61)</t>
  </si>
  <si>
    <t>A Study on Interpersonal Skills Among Selected Cases of Successful Malays Entrepreneurs Wholesale SMEs in Terengganu.</t>
  </si>
  <si>
    <t xml:space="preserve">29 Disember 2025 (Isnin)   </t>
  </si>
  <si>
    <t>YBrs. Prof. Dr. Mohd Rafi bin Yaacob (Penyelia Utama)</t>
  </si>
  <si>
    <t>YBrs. Dr. Siti Amaliya binti Mohd Radyi (Penyelia Bersama)</t>
  </si>
  <si>
    <t>Pengerusi - Dr. Hasannuddiin bin Hassan (Tarik diri - komitmen akademik)</t>
  </si>
  <si>
    <t>UMK.A01.600-8/4/7 JLD. 2 ()</t>
  </si>
  <si>
    <t>Onwupenata Emmanuel Chinonso</t>
  </si>
  <si>
    <t>A23D051F</t>
  </si>
  <si>
    <t>Entrepreneurial Innovation as a Driver of Profitability in Eco Bank PLC Nigeria</t>
  </si>
  <si>
    <t xml:space="preserve">15 Disember 2025 (Isnin)   </t>
  </si>
  <si>
    <t>YBrs. Dr. Muhammad Zulfaris bin Mohd Salleh (Penyelia Utama)</t>
  </si>
  <si>
    <t>YBrs. Dr. Mohd Afifie bin Mohd Alwi (Penyelia Bersama)</t>
  </si>
  <si>
    <t>Izni Syuhada binti Mohd Razally</t>
  </si>
  <si>
    <t>A21E067F</t>
  </si>
  <si>
    <t>Mediating Effect of Regulatory Focus on Learning Organization Culture and Academic Intrapreneurial Behavior in Malaysian Private Higher Education Institutions</t>
  </si>
  <si>
    <t>YBrs. Prof. Dr. Naresh Kumar a/l Samy (Penyelia Utama)</t>
  </si>
  <si>
    <t>Panel 1 - Prof. Dr. Balakrishnan a/l Parasuraman - asal co-sv yang digugurkan</t>
  </si>
  <si>
    <t>Nusratina binti Shaari</t>
  </si>
  <si>
    <t>A22E053F</t>
  </si>
  <si>
    <t>Mediating Effect of Entrepreneurial Persistence on Entrepreneurial Passion and Operational Performance Among Women Micro-Entrepreneurs in Malaysia</t>
  </si>
  <si>
    <t xml:space="preserve">16 Disember 2025 (Selasa)   </t>
  </si>
  <si>
    <t>YBrs. Dr. Hasannuddiin bin Hassan (Penyelia Bersama)</t>
  </si>
  <si>
    <t>Dr. Mardhiah binti Kamaruddin</t>
  </si>
  <si>
    <t>Norul Elya Shahira binti Md Sanusi</t>
  </si>
  <si>
    <t>A22E052F</t>
  </si>
  <si>
    <t>Analyzing the Determinants of Financial Performance of Family Takaful Operators in Malaysia Using Python-Based Statistical and Machine Learning Models</t>
  </si>
  <si>
    <t>13 Januari 2026 (Selasa)</t>
  </si>
  <si>
    <t>YBrs. Prof. Madya Dr. Hazriah binti Hasan (Penyelia Utama)</t>
  </si>
  <si>
    <t>YBrs. Prof. Madya Dr. Mohd Asrul Hery bin Ibrahim (Penyelia Bersama)</t>
  </si>
  <si>
    <t>Dr. Muhammad Pirdaus bin Yusoh</t>
  </si>
  <si>
    <t>Fansurya Alfi Husni</t>
  </si>
  <si>
    <t>A24E3929F</t>
  </si>
  <si>
    <t>The Cartography of Tourist  Stay: Navigating Destination Brand Experiences and Emotional Landscapes in Explaining Tourist Length of Stay</t>
  </si>
  <si>
    <t>28 Disember 2025 (Ahad)</t>
  </si>
  <si>
    <t>YBrs. Dr. Shah Iskandar Fahmie bin Ramlee (Penyelia Utama)</t>
  </si>
  <si>
    <t>YBrs. Dr. Nik Alif Amri bin Nik Hashim (Penyelia Bersama)</t>
  </si>
  <si>
    <t>Dr. Mohd Shahril Nizam bin Md Radzi</t>
  </si>
  <si>
    <t>Fakulti Undang-Undang
Universiti Kebangsaan Malaysia</t>
  </si>
  <si>
    <t>Syed Ahmad Omar bin Syed Satri</t>
  </si>
  <si>
    <t>A18E014F</t>
  </si>
  <si>
    <t>Stakeholder’s Perceptions of the Regulatory Framework for Public Universities Technology Transfer and Commercialization in Malaysia: A Qualitative Case Study</t>
  </si>
  <si>
    <t>22 Disember 2025 (Isnin)</t>
  </si>
  <si>
    <t>YBrs. Dr. Adi Aizat bin Yajid (Penyelia Utama)</t>
  </si>
  <si>
    <t>YBrs. Prof. Madya Dr. Mohd Nazri bin Muhayiddin (Penyelia Bersama)</t>
  </si>
  <si>
    <t>KEKERAPAN PENSYARAH YANG TERLIBAT DENGAN PENILAIAN CADANGAN PENYELIDIKAN (PD) DAN PRA PEPERIKSAAN LISAN (CD)</t>
  </si>
  <si>
    <t>Pensyarah</t>
  </si>
  <si>
    <t>TAHUN 2024</t>
  </si>
  <si>
    <t>TAHUN 2025</t>
  </si>
  <si>
    <t>Pengerusi</t>
  </si>
  <si>
    <t>Jumlah Kekerapan</t>
  </si>
  <si>
    <t>Prof. Dr. Balakrishnan A/L Parasuraman</t>
  </si>
  <si>
    <t>Prof. Dr. Mohammad bin Ismail</t>
  </si>
  <si>
    <t>Prof. Madya Dr. Noorshella Binti Che Nawi</t>
  </si>
  <si>
    <t>Dr. Syarizal Bin Abdul Rahim</t>
  </si>
  <si>
    <t xml:space="preserve">Dr. Siti Som Binti Husin </t>
  </si>
  <si>
    <t xml:space="preserve">Dr. Nur Syafiqah Binti A. Samad </t>
  </si>
  <si>
    <t xml:space="preserve">Dr. Azira Hanani Binti Berahim @ Ab Rahman </t>
  </si>
  <si>
    <r>
      <rPr>
        <sz val="11"/>
        <color theme="1"/>
        <rFont val="Arial"/>
        <family val="2"/>
      </rPr>
      <t>Pn. Nik Noorhazila binti Nik Mud</t>
    </r>
    <r>
      <rPr>
        <sz val="11"/>
        <color rgb="FFFF0000"/>
        <rFont val="Arial"/>
        <family val="2"/>
      </rPr>
      <t xml:space="preserve"> </t>
    </r>
  </si>
  <si>
    <t>28 Januari 2026 (Rabu)</t>
  </si>
  <si>
    <t>Pengerusi - Prof. Madya. Dr. Mohd Zulkifli bin Muhammad (kekangan tugas)</t>
  </si>
  <si>
    <t>Dr. Nur A’mira binti Mohd Yaziz</t>
  </si>
  <si>
    <t>Mesyuarat Jawatankuasa Pascasiswazah Bil.9/2025 (kali ke-62)</t>
  </si>
  <si>
    <t>Syarifah Ainul Suhana binti Syed Mohd Taha</t>
  </si>
  <si>
    <t>A22E004F</t>
  </si>
  <si>
    <t>Positive Leadership Styles, Psychological and Social Capital Effects on Well-Being of Administrative and Diplomatic Officers in the Malaysian Public Sector</t>
  </si>
  <si>
    <t xml:space="preserve">Dr. Siti Amaliya binti Mohd Radyi </t>
  </si>
  <si>
    <t>Susetyo Darmanto</t>
  </si>
  <si>
    <t>A24E2859F</t>
  </si>
  <si>
    <t>The Effect of Social Media Marketing, Digital Transformational Capabilities, and Digital Entrepreneurial Orientation toward Edutechpreneur Business Performance: The Mediating Role of Organizational Agility</t>
  </si>
  <si>
    <t>YBrs. Prof. Dr. Mohd Nor Hakimin bin Yusof (Penyelia Utama)</t>
  </si>
  <si>
    <t>YBrs. Prof. Madya Dr. Muhammad Ashlyzan bin Razik (Penyelia Bersama)</t>
  </si>
  <si>
    <t>Qi Jun</t>
  </si>
  <si>
    <t>A23E2812F</t>
  </si>
  <si>
    <t>Effects of FDI, Stock Market, Interest Rate and Trade Openness on Green Economic Growth in China the Moderating Effects of Institutional Quality’s</t>
  </si>
  <si>
    <t>YBrs. Prof./ Prof. Madya/Dr.</t>
  </si>
  <si>
    <t>Hubungan antara Strategi Kepimpinan, Tumpuan Regulasi dan Tingkah Laku Keusahawanan dalam Kalangan Akademik di Institusi Pengajian Tinggi Awam Malayisia</t>
  </si>
  <si>
    <t>YBrs. Dr. Nurhaiza binti Nordin (Penyelia Utama)</t>
  </si>
  <si>
    <t>YBrs. Dr Nurnaddia binti Nordin (Penyelia Bersama)</t>
  </si>
  <si>
    <t>YBrs. Dr. Mohd Ikhwan bin Aziz (Penyelia Bersama)</t>
  </si>
  <si>
    <t>The Impact of Digital Inclusive Finance on Financing Constraints of Small and Title of Research Medium-sized Enterprises in China — On the Perspective of Debt Financing</t>
  </si>
  <si>
    <t>3 Februari 2026 (Selasa)</t>
  </si>
  <si>
    <t>YBrs. Dr. Noormariana binti Mohd Din (Penyelia Utama)</t>
  </si>
  <si>
    <t>YBrs. Prof. Dr. Mohd Nor Hakimin bin Yusof (Penyelia Bersama)</t>
  </si>
  <si>
    <t>YBrs. Dr. Siti Fariha binti Muhamad (Penyelia Bersama)</t>
  </si>
  <si>
    <t>18 Januari 2026 (Ahad)</t>
  </si>
  <si>
    <t>12 Januari 2026 (Isnin)</t>
  </si>
  <si>
    <t>26 Januari 2026 (Isnin)</t>
  </si>
  <si>
    <t>19 Januari 2026 (Isnin)</t>
  </si>
  <si>
    <t>Pengerusi - Prof. Madya Dr. Wan Farha binti Wan Zulkiffli (Bengkel MGF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</si>
</sst>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charset val="134"/>
      <scheme val="minor"/>
    </font>
    <font>
      <b/>
      <sz val="11"/>
      <color theme="1"/>
      <name val="Arial"/>
      <family val="2"/>
    </font>
    <font>
      <b/>
      <sz val="11"/>
      <color theme="0"/>
      <name val="Calibri"/>
      <family val="2"/>
    </font>
    <font>
      <sz val="11"/>
      <name val="Calibri"/>
      <family val="2"/>
      <scheme val="minor"/>
    </font>
    <font>
      <b/>
      <sz val="10"/>
      <color theme="1"/>
      <name val="Arial"/>
      <family val="2"/>
    </font>
    <font>
      <sz val="11"/>
      <color theme="1"/>
      <name val="Arial"/>
      <family val="2"/>
    </font>
    <font>
      <b/>
      <sz val="11"/>
      <color theme="1"/>
      <name val="Calibri"/>
      <family val="2"/>
    </font>
    <font>
      <sz val="11"/>
      <color theme="1"/>
      <name val="Calibri"/>
      <family val="2"/>
    </font>
    <font>
      <sz val="12"/>
      <color rgb="FF000000"/>
      <name val="Arial"/>
      <family val="2"/>
    </font>
    <font>
      <sz val="11"/>
      <color rgb="FF000000"/>
      <name val="Arial"/>
      <family val="2"/>
    </font>
    <font>
      <sz val="12"/>
      <color theme="1"/>
      <name val="Arial"/>
      <family val="2"/>
    </font>
    <font>
      <sz val="8"/>
      <color rgb="FF666666"/>
      <name val="Verdana"/>
      <family val="2"/>
    </font>
    <font>
      <sz val="11"/>
      <color rgb="FF222222"/>
      <name val="Arial"/>
      <family val="2"/>
    </font>
    <font>
      <i/>
      <sz val="11"/>
      <color theme="1"/>
      <name val="Arial"/>
      <family val="2"/>
    </font>
    <font>
      <sz val="11"/>
      <color rgb="FFFF0000"/>
      <name val="Arial"/>
      <family val="2"/>
    </font>
    <font>
      <sz val="11"/>
      <color theme="1"/>
      <name val="Arial"/>
      <family val="2"/>
    </font>
    <font>
      <sz val="11"/>
      <color rgb="FF000000"/>
      <name val="Arial"/>
      <family val="2"/>
    </font>
    <font>
      <sz val="11"/>
      <name val="Arial"/>
      <family val="2"/>
    </font>
    <font>
      <b/>
      <sz val="11"/>
      <name val="Calibri"/>
      <family val="2"/>
    </font>
    <font>
      <sz val="11"/>
      <name val="Calibri"/>
      <family val="2"/>
      <scheme val="minor"/>
    </font>
  </fonts>
  <fills count="16">
    <fill>
      <patternFill patternType="none"/>
    </fill>
    <fill>
      <patternFill patternType="gray125"/>
    </fill>
    <fill>
      <patternFill patternType="solid">
        <fgColor rgb="FFC5E0B3"/>
        <bgColor rgb="FFC5E0B3"/>
      </patternFill>
    </fill>
    <fill>
      <patternFill patternType="solid">
        <fgColor rgb="FF385623"/>
        <bgColor rgb="FF385623"/>
      </patternFill>
    </fill>
    <fill>
      <patternFill patternType="solid">
        <fgColor theme="0"/>
        <bgColor theme="0"/>
      </patternFill>
    </fill>
    <fill>
      <patternFill patternType="solid">
        <fgColor rgb="FFFFFF00"/>
        <bgColor rgb="FFFFFF00"/>
      </patternFill>
    </fill>
    <fill>
      <patternFill patternType="solid">
        <fgColor rgb="FFFBE4D5"/>
        <bgColor rgb="FFFBE4D5"/>
      </patternFill>
    </fill>
    <fill>
      <patternFill patternType="solid">
        <fgColor rgb="FFFFFFFF"/>
        <bgColor rgb="FFFFFFFF"/>
      </patternFill>
    </fill>
    <fill>
      <patternFill patternType="solid">
        <fgColor theme="7" tint="0.59999389629810485"/>
        <bgColor indexed="64"/>
      </patternFill>
    </fill>
    <fill>
      <patternFill patternType="solid">
        <fgColor theme="7" tint="0.59999389629810485"/>
        <bgColor rgb="FFC5E0B3"/>
      </patternFill>
    </fill>
    <fill>
      <patternFill patternType="solid">
        <fgColor rgb="FFFF0000"/>
        <bgColor indexed="64"/>
      </patternFill>
    </fill>
    <fill>
      <patternFill patternType="solid">
        <fgColor rgb="FFFF0000"/>
        <bgColor rgb="FFC5E0B3"/>
      </patternFill>
    </fill>
    <fill>
      <patternFill patternType="solid">
        <fgColor rgb="FFFF0000"/>
        <bgColor theme="0"/>
      </patternFill>
    </fill>
    <fill>
      <patternFill patternType="solid">
        <fgColor theme="0"/>
        <bgColor indexed="64"/>
      </patternFill>
    </fill>
    <fill>
      <patternFill patternType="solid">
        <fgColor theme="0"/>
        <bgColor rgb="FFFFE598"/>
      </patternFill>
    </fill>
    <fill>
      <patternFill patternType="solid">
        <fgColor theme="7" tint="0.59999389629810485"/>
        <bgColor rgb="FFFFE598"/>
      </patternFill>
    </fill>
  </fills>
  <borders count="10">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auto="1"/>
      </left>
      <right style="thin">
        <color auto="1"/>
      </right>
      <top style="thin">
        <color auto="1"/>
      </top>
      <bottom/>
      <diagonal/>
    </border>
    <border>
      <left/>
      <right style="thin">
        <color rgb="FF000000"/>
      </right>
      <top style="thin">
        <color rgb="FF000000"/>
      </top>
      <bottom/>
      <diagonal/>
    </border>
  </borders>
  <cellStyleXfs count="1">
    <xf numFmtId="0" fontId="0" fillId="0" borderId="0"/>
  </cellStyleXfs>
  <cellXfs count="114">
    <xf numFmtId="0" fontId="0" fillId="0" borderId="0" xfId="0" applyFont="1" applyAlignment="1"/>
    <xf numFmtId="0" fontId="1" fillId="0" borderId="0" xfId="0" applyFont="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vertical="center"/>
    </xf>
    <xf numFmtId="0" fontId="6" fillId="2" borderId="5" xfId="0" applyFont="1" applyFill="1" applyBorder="1" applyAlignment="1">
      <alignment horizontal="center" vertical="center"/>
    </xf>
    <xf numFmtId="0" fontId="5" fillId="0" borderId="5" xfId="0" applyFont="1" applyBorder="1" applyAlignment="1">
      <alignment vertical="center" wrapText="1"/>
    </xf>
    <xf numFmtId="0" fontId="5" fillId="4" borderId="5" xfId="0" applyFont="1" applyFill="1" applyBorder="1" applyAlignment="1">
      <alignment vertical="center" wrapText="1"/>
    </xf>
    <xf numFmtId="0" fontId="5" fillId="0" borderId="0" xfId="0" applyFont="1" applyAlignment="1">
      <alignment vertical="center" wrapText="1"/>
    </xf>
    <xf numFmtId="0" fontId="5" fillId="4" borderId="5" xfId="0" applyFont="1" applyFill="1" applyBorder="1" applyAlignment="1">
      <alignment vertical="center"/>
    </xf>
    <xf numFmtId="0" fontId="6" fillId="0" borderId="0" xfId="0" applyFont="1" applyAlignment="1">
      <alignment horizontal="center"/>
    </xf>
    <xf numFmtId="0" fontId="5" fillId="0" borderId="0" xfId="0" applyFont="1" applyAlignment="1">
      <alignment vertical="center"/>
    </xf>
    <xf numFmtId="0" fontId="5" fillId="0" borderId="1" xfId="0" applyFont="1" applyBorder="1" applyAlignment="1">
      <alignment horizontal="center" vertical="center"/>
    </xf>
    <xf numFmtId="0" fontId="6" fillId="2" borderId="1" xfId="0" applyFont="1" applyFill="1" applyBorder="1" applyAlignment="1">
      <alignment horizontal="center" vertical="center"/>
    </xf>
    <xf numFmtId="0" fontId="5" fillId="0" borderId="1" xfId="0" applyFont="1" applyBorder="1" applyAlignment="1">
      <alignment vertical="center" wrapText="1"/>
    </xf>
    <xf numFmtId="0" fontId="5" fillId="0" borderId="6" xfId="0" applyFont="1" applyBorder="1" applyAlignment="1">
      <alignment vertical="center" wrapText="1"/>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0" xfId="0" applyFont="1"/>
    <xf numFmtId="0" fontId="7" fillId="0" borderId="0" xfId="0" applyFont="1"/>
    <xf numFmtId="0" fontId="7" fillId="0" borderId="0" xfId="0" applyFont="1" applyAlignment="1">
      <alignment vertical="center"/>
    </xf>
    <xf numFmtId="0" fontId="0" fillId="0" borderId="0" xfId="0" applyFont="1" applyFill="1" applyAlignment="1"/>
    <xf numFmtId="0" fontId="1" fillId="5" borderId="0" xfId="0" applyFont="1" applyFill="1" applyBorder="1" applyAlignment="1">
      <alignment horizontal="center" vertical="center" wrapText="1"/>
    </xf>
    <xf numFmtId="0" fontId="5" fillId="4" borderId="0" xfId="0" applyFont="1" applyFill="1" applyBorder="1" applyAlignment="1">
      <alignment vertical="center" wrapText="1"/>
    </xf>
    <xf numFmtId="0" fontId="5" fillId="4" borderId="0" xfId="0" applyFont="1" applyFill="1" applyBorder="1" applyAlignment="1">
      <alignment horizontal="center" vertical="center" wrapText="1"/>
    </xf>
    <xf numFmtId="0" fontId="5" fillId="0" borderId="0" xfId="0" applyFont="1" applyFill="1" applyBorder="1" applyAlignment="1">
      <alignment vertical="center" wrapText="1"/>
    </xf>
    <xf numFmtId="0" fontId="5" fillId="6" borderId="0" xfId="0" applyFont="1" applyFill="1" applyBorder="1" applyAlignment="1">
      <alignment vertical="center" wrapText="1"/>
    </xf>
    <xf numFmtId="0" fontId="9" fillId="7" borderId="0" xfId="0" applyFont="1" applyFill="1" applyBorder="1" applyAlignment="1">
      <alignment vertical="center" wrapText="1"/>
    </xf>
    <xf numFmtId="0" fontId="9" fillId="4" borderId="0" xfId="0" applyFont="1" applyFill="1" applyBorder="1" applyAlignment="1">
      <alignment vertical="center" wrapText="1"/>
    </xf>
    <xf numFmtId="0" fontId="5" fillId="4" borderId="0" xfId="0" applyFont="1" applyFill="1" applyBorder="1" applyAlignment="1">
      <alignment vertical="center"/>
    </xf>
    <xf numFmtId="0" fontId="5" fillId="4" borderId="0" xfId="0" applyFont="1" applyFill="1" applyBorder="1" applyAlignment="1">
      <alignment wrapText="1"/>
    </xf>
    <xf numFmtId="49" fontId="5" fillId="4" borderId="0" xfId="0" applyNumberFormat="1" applyFont="1" applyFill="1" applyBorder="1" applyAlignment="1">
      <alignment vertical="center" wrapText="1"/>
    </xf>
    <xf numFmtId="49" fontId="7" fillId="4" borderId="0" xfId="0" applyNumberFormat="1" applyFont="1" applyFill="1" applyBorder="1" applyAlignment="1">
      <alignment vertical="center" wrapText="1"/>
    </xf>
    <xf numFmtId="0" fontId="7" fillId="4" borderId="0" xfId="0" applyFont="1" applyFill="1" applyBorder="1"/>
    <xf numFmtId="0" fontId="0" fillId="0" borderId="0" xfId="0" applyFont="1" applyAlignment="1"/>
    <xf numFmtId="0" fontId="5" fillId="0" borderId="0" xfId="0" applyFont="1" applyBorder="1" applyAlignment="1">
      <alignment vertical="center" wrapText="1"/>
    </xf>
    <xf numFmtId="0" fontId="5" fillId="0" borderId="7" xfId="0" applyFont="1" applyBorder="1" applyAlignment="1">
      <alignment horizontal="center" vertical="center"/>
    </xf>
    <xf numFmtId="0" fontId="5" fillId="0" borderId="8" xfId="0" applyFont="1" applyBorder="1" applyAlignment="1">
      <alignment vertical="center" wrapText="1"/>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5" fillId="8" borderId="5" xfId="0" applyFont="1" applyFill="1" applyBorder="1" applyAlignment="1">
      <alignment horizontal="center" vertical="center"/>
    </xf>
    <xf numFmtId="0" fontId="5" fillId="8" borderId="0" xfId="0" applyFont="1" applyFill="1" applyAlignment="1">
      <alignment vertical="center" wrapText="1"/>
    </xf>
    <xf numFmtId="0" fontId="6" fillId="9" borderId="5" xfId="0" applyFont="1" applyFill="1" applyBorder="1" applyAlignment="1">
      <alignment horizontal="center" vertical="center"/>
    </xf>
    <xf numFmtId="0" fontId="5" fillId="10" borderId="5" xfId="0" applyFont="1" applyFill="1" applyBorder="1" applyAlignment="1">
      <alignment horizontal="center" vertical="center"/>
    </xf>
    <xf numFmtId="0" fontId="5" fillId="10" borderId="5" xfId="0" applyFont="1" applyFill="1" applyBorder="1" applyAlignment="1">
      <alignment vertical="center" wrapText="1"/>
    </xf>
    <xf numFmtId="0" fontId="6" fillId="11" borderId="5" xfId="0" applyFont="1" applyFill="1" applyBorder="1" applyAlignment="1">
      <alignment horizontal="center" vertical="center"/>
    </xf>
    <xf numFmtId="0" fontId="19" fillId="0" borderId="0" xfId="0" applyFont="1" applyAlignment="1"/>
    <xf numFmtId="0" fontId="17" fillId="10" borderId="5" xfId="0" applyFont="1" applyFill="1" applyBorder="1" applyAlignment="1">
      <alignment horizontal="center" vertical="center"/>
    </xf>
    <xf numFmtId="0" fontId="17" fillId="12" borderId="5" xfId="0" applyFont="1" applyFill="1" applyBorder="1" applyAlignment="1">
      <alignment vertical="center"/>
    </xf>
    <xf numFmtId="0" fontId="18" fillId="11" borderId="5" xfId="0" applyFont="1" applyFill="1" applyBorder="1" applyAlignment="1">
      <alignment horizontal="center" vertical="center"/>
    </xf>
    <xf numFmtId="0" fontId="5" fillId="10" borderId="5" xfId="0" applyFont="1" applyFill="1" applyBorder="1" applyAlignment="1">
      <alignment vertical="center"/>
    </xf>
    <xf numFmtId="0" fontId="7" fillId="14" borderId="0" xfId="0" applyFont="1" applyFill="1" applyBorder="1"/>
    <xf numFmtId="0" fontId="0" fillId="13" borderId="0" xfId="0" applyFont="1" applyFill="1" applyAlignment="1"/>
    <xf numFmtId="0" fontId="5" fillId="15" borderId="5" xfId="0" applyFont="1" applyFill="1" applyBorder="1" applyAlignment="1">
      <alignment vertical="center"/>
    </xf>
    <xf numFmtId="0" fontId="5" fillId="15" borderId="5" xfId="0" applyFont="1" applyFill="1" applyBorder="1" applyAlignment="1">
      <alignment horizontal="center" vertical="center"/>
    </xf>
    <xf numFmtId="0" fontId="5" fillId="15" borderId="5" xfId="0" applyFont="1" applyFill="1" applyBorder="1" applyAlignment="1">
      <alignment vertical="center" wrapText="1"/>
    </xf>
    <xf numFmtId="0" fontId="15" fillId="0" borderId="6" xfId="0" applyFont="1" applyBorder="1" applyAlignment="1">
      <alignment vertical="center" wrapText="1"/>
    </xf>
    <xf numFmtId="0" fontId="5" fillId="0" borderId="0" xfId="0" applyFont="1" applyBorder="1" applyAlignment="1">
      <alignment horizontal="center" vertical="center"/>
    </xf>
    <xf numFmtId="0" fontId="15" fillId="0" borderId="0" xfId="0" applyFont="1" applyBorder="1" applyAlignment="1">
      <alignment vertical="center" wrapText="1"/>
    </xf>
    <xf numFmtId="0" fontId="5" fillId="0" borderId="8" xfId="0" applyFont="1" applyBorder="1" applyAlignment="1">
      <alignment horizontal="center" vertical="center"/>
    </xf>
    <xf numFmtId="0" fontId="15" fillId="0" borderId="8" xfId="0" applyFont="1" applyBorder="1" applyAlignment="1">
      <alignment vertical="center" wrapText="1"/>
    </xf>
    <xf numFmtId="0" fontId="6" fillId="2" borderId="6" xfId="0" applyFont="1" applyFill="1" applyBorder="1" applyAlignment="1">
      <alignment horizontal="center" vertical="center"/>
    </xf>
    <xf numFmtId="0" fontId="5" fillId="0" borderId="6" xfId="0" applyFont="1" applyBorder="1"/>
    <xf numFmtId="0" fontId="7" fillId="0" borderId="6" xfId="0" applyFont="1" applyBorder="1"/>
    <xf numFmtId="0" fontId="6" fillId="0" borderId="6" xfId="0" applyFont="1" applyBorder="1"/>
    <xf numFmtId="0" fontId="0" fillId="0" borderId="6" xfId="0" applyFont="1" applyBorder="1" applyAlignment="1"/>
    <xf numFmtId="0" fontId="5" fillId="0" borderId="6" xfId="0" applyFont="1" applyBorder="1" applyAlignment="1">
      <alignment vertical="center"/>
    </xf>
    <xf numFmtId="0" fontId="6" fillId="0" borderId="6" xfId="0" applyFont="1" applyBorder="1" applyAlignment="1">
      <alignment horizontal="center"/>
    </xf>
    <xf numFmtId="0" fontId="5" fillId="8" borderId="6" xfId="0" applyFont="1" applyFill="1" applyBorder="1" applyAlignment="1">
      <alignment horizontal="center" vertical="center"/>
    </xf>
    <xf numFmtId="0" fontId="5" fillId="8" borderId="6" xfId="0" applyFont="1" applyFill="1" applyBorder="1" applyAlignment="1">
      <alignment vertical="center" wrapText="1"/>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6" fillId="9"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9" borderId="6" xfId="0" applyFont="1" applyFill="1" applyBorder="1" applyAlignment="1">
      <alignment horizontal="center" vertical="center"/>
    </xf>
    <xf numFmtId="0" fontId="6" fillId="9" borderId="8" xfId="0" applyFont="1" applyFill="1" applyBorder="1" applyAlignment="1">
      <alignment horizontal="center" vertical="center"/>
    </xf>
    <xf numFmtId="0" fontId="5" fillId="0" borderId="0" xfId="0" applyFont="1" applyBorder="1" applyAlignment="1">
      <alignment horizontal="center" vertical="center" wrapText="1"/>
    </xf>
    <xf numFmtId="0" fontId="1" fillId="0" borderId="0" xfId="0" applyFont="1" applyBorder="1" applyAlignment="1">
      <alignment horizontal="center" vertical="center" wrapText="1"/>
    </xf>
    <xf numFmtId="49" fontId="1" fillId="0" borderId="0" xfId="0" applyNumberFormat="1" applyFont="1" applyBorder="1" applyAlignment="1">
      <alignment horizontal="center" vertical="center" wrapText="1"/>
    </xf>
    <xf numFmtId="0" fontId="1" fillId="0" borderId="0" xfId="0" applyFont="1" applyBorder="1" applyAlignment="1">
      <alignment vertical="center" wrapText="1"/>
    </xf>
    <xf numFmtId="0" fontId="6" fillId="0" borderId="0" xfId="0" applyFont="1" applyBorder="1" applyAlignment="1">
      <alignment vertical="center" wrapText="1"/>
    </xf>
    <xf numFmtId="49" fontId="5" fillId="0" borderId="0" xfId="0" applyNumberFormat="1" applyFont="1" applyBorder="1" applyAlignment="1">
      <alignment vertical="center" wrapText="1"/>
    </xf>
    <xf numFmtId="0" fontId="7" fillId="0" borderId="0" xfId="0" applyFont="1" applyBorder="1" applyAlignment="1">
      <alignment vertical="center" wrapText="1"/>
    </xf>
    <xf numFmtId="0" fontId="0" fillId="0" borderId="0" xfId="0" applyFont="1" applyBorder="1" applyAlignment="1"/>
    <xf numFmtId="0" fontId="9" fillId="0" borderId="0" xfId="0" applyFont="1" applyBorder="1" applyAlignment="1">
      <alignment vertical="center" wrapText="1"/>
    </xf>
    <xf numFmtId="0" fontId="5" fillId="0" borderId="0" xfId="0" applyFont="1" applyBorder="1" applyAlignment="1">
      <alignment horizontal="left" vertical="center" wrapText="1"/>
    </xf>
    <xf numFmtId="0" fontId="9" fillId="0" borderId="0" xfId="0" applyFont="1" applyBorder="1" applyAlignment="1">
      <alignment horizontal="left" vertical="center" wrapText="1"/>
    </xf>
    <xf numFmtId="0" fontId="8" fillId="0" borderId="0" xfId="0" applyFont="1" applyBorder="1" applyAlignment="1">
      <alignment vertical="center" wrapText="1"/>
    </xf>
    <xf numFmtId="0" fontId="10" fillId="0" borderId="0" xfId="0" applyFont="1" applyBorder="1" applyAlignment="1">
      <alignment horizontal="left" vertical="center" wrapText="1"/>
    </xf>
    <xf numFmtId="0" fontId="11" fillId="0" borderId="0" xfId="0" applyFont="1" applyBorder="1" applyAlignment="1">
      <alignment vertical="center" wrapText="1"/>
    </xf>
    <xf numFmtId="0" fontId="12" fillId="0" borderId="0" xfId="0" applyFont="1" applyBorder="1" applyAlignment="1">
      <alignment vertical="center" wrapText="1"/>
    </xf>
    <xf numFmtId="0" fontId="9" fillId="0" borderId="0" xfId="0" applyFont="1" applyBorder="1" applyAlignment="1">
      <alignment vertical="center"/>
    </xf>
    <xf numFmtId="0" fontId="9" fillId="0" borderId="0" xfId="0" applyFont="1" applyBorder="1" applyAlignment="1">
      <alignment horizontal="center" vertical="center" wrapText="1"/>
    </xf>
    <xf numFmtId="0" fontId="9" fillId="0" borderId="0" xfId="0" applyFont="1" applyBorder="1" applyAlignment="1">
      <alignment horizontal="left" vertical="center"/>
    </xf>
    <xf numFmtId="0" fontId="5" fillId="0" borderId="0" xfId="0" applyFont="1" applyBorder="1" applyAlignment="1">
      <alignment wrapText="1"/>
    </xf>
    <xf numFmtId="0" fontId="5" fillId="0" borderId="0" xfId="0" applyFont="1" applyBorder="1" applyAlignment="1">
      <alignment vertical="center"/>
    </xf>
    <xf numFmtId="49" fontId="7" fillId="0" borderId="0" xfId="0" applyNumberFormat="1" applyFont="1" applyBorder="1" applyAlignment="1">
      <alignment vertical="center" wrapText="1"/>
    </xf>
    <xf numFmtId="0" fontId="5" fillId="0" borderId="0" xfId="0" applyFont="1" applyBorder="1" applyAlignment="1">
      <alignment horizontal="left" vertical="center"/>
    </xf>
    <xf numFmtId="0" fontId="5" fillId="0" borderId="0" xfId="0" applyFont="1" applyFill="1" applyBorder="1" applyAlignment="1">
      <alignment horizontal="center" vertical="center" wrapText="1"/>
    </xf>
    <xf numFmtId="0" fontId="8" fillId="0" borderId="0" xfId="0" applyFont="1" applyFill="1" applyBorder="1" applyAlignment="1">
      <alignment vertical="center" wrapText="1"/>
    </xf>
    <xf numFmtId="0" fontId="9" fillId="0" borderId="0" xfId="0" applyFont="1" applyFill="1" applyBorder="1" applyAlignment="1">
      <alignment vertical="center" wrapText="1"/>
    </xf>
    <xf numFmtId="49" fontId="5" fillId="0" borderId="0" xfId="0" applyNumberFormat="1" applyFont="1" applyFill="1" applyBorder="1" applyAlignment="1">
      <alignment vertical="center" wrapText="1"/>
    </xf>
    <xf numFmtId="0" fontId="7" fillId="0" borderId="0" xfId="0" applyFont="1" applyFill="1" applyBorder="1" applyAlignment="1">
      <alignment vertical="center" wrapText="1"/>
    </xf>
    <xf numFmtId="0" fontId="0" fillId="0" borderId="0" xfId="0" applyFont="1" applyFill="1" applyBorder="1" applyAlignment="1"/>
    <xf numFmtId="0" fontId="16" fillId="0" borderId="0" xfId="0" applyFont="1" applyBorder="1" applyAlignment="1">
      <alignment vertical="center" wrapText="1"/>
    </xf>
    <xf numFmtId="0" fontId="16" fillId="0" borderId="0" xfId="0" applyFont="1" applyBorder="1" applyAlignment="1">
      <alignment vertical="center"/>
    </xf>
    <xf numFmtId="0" fontId="5" fillId="13" borderId="0" xfId="0" applyFont="1" applyFill="1" applyBorder="1" applyAlignment="1">
      <alignment vertical="center" wrapText="1"/>
    </xf>
    <xf numFmtId="0" fontId="1" fillId="0" borderId="0" xfId="0" applyFont="1" applyAlignment="1">
      <alignment horizontal="center" vertical="center" wrapText="1"/>
    </xf>
    <xf numFmtId="0" fontId="0" fillId="0" borderId="0" xfId="0" applyFont="1" applyAlignment="1"/>
    <xf numFmtId="0" fontId="2" fillId="3" borderId="2" xfId="0" applyFont="1" applyFill="1" applyBorder="1" applyAlignment="1">
      <alignment horizontal="center"/>
    </xf>
    <xf numFmtId="0" fontId="3" fillId="0" borderId="2" xfId="0" applyFont="1" applyBorder="1"/>
    <xf numFmtId="0" fontId="1" fillId="2" borderId="1" xfId="0" applyFont="1" applyFill="1" applyBorder="1" applyAlignment="1">
      <alignment horizontal="center" vertical="center" wrapText="1"/>
    </xf>
    <xf numFmtId="0" fontId="3" fillId="0" borderId="3" xfId="0" applyFont="1" applyBorder="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000"/>
  <sheetViews>
    <sheetView tabSelected="1" workbookViewId="0">
      <pane ySplit="1" topLeftCell="A2" activePane="bottomLeft" state="frozen"/>
      <selection pane="bottomLeft" activeCell="AE85" sqref="AE85"/>
    </sheetView>
  </sheetViews>
  <sheetFormatPr defaultColWidth="14.42578125" defaultRowHeight="15" customHeight="1"/>
  <cols>
    <col min="1" max="1" width="5.42578125" style="84" customWidth="1"/>
    <col min="2" max="2" width="7.7109375" style="84" customWidth="1"/>
    <col min="3" max="3" width="15.140625" style="84" customWidth="1"/>
    <col min="4" max="11" width="27.42578125" style="84" customWidth="1"/>
    <col min="12" max="13" width="24.5703125" style="84" customWidth="1"/>
    <col min="14" max="14" width="26.42578125" style="84" customWidth="1"/>
    <col min="15" max="16" width="23" style="84" customWidth="1"/>
    <col min="17" max="21" width="27.42578125" style="84" customWidth="1"/>
    <col min="22" max="22" width="33.5703125" style="84" customWidth="1"/>
    <col min="23" max="23" width="13.28515625" style="84" customWidth="1"/>
    <col min="24" max="24" width="45.140625" style="84" customWidth="1"/>
    <col min="25" max="25" width="18.28515625" style="84" customWidth="1"/>
    <col min="26" max="26" width="14.42578125" style="84"/>
    <col min="27" max="27" width="27.85546875" style="84" customWidth="1"/>
    <col min="28" max="28" width="30.140625" style="84" customWidth="1"/>
    <col min="29" max="29" width="32.85546875" style="84" customWidth="1"/>
    <col min="30" max="30" width="28.5703125" style="84" customWidth="1"/>
    <col min="31" max="31" width="31.7109375" style="84" customWidth="1"/>
    <col min="32" max="32" width="30" style="84" customWidth="1"/>
    <col min="33" max="33" width="14.42578125" style="84"/>
    <col min="34" max="34" width="18.7109375" style="84" customWidth="1"/>
    <col min="35" max="35" width="29.140625" style="84" customWidth="1"/>
    <col min="36" max="36" width="23.7109375" style="84" customWidth="1"/>
    <col min="37" max="37" width="22.140625" style="84" customWidth="1"/>
  </cols>
  <sheetData>
    <row r="1" spans="1:37" ht="45">
      <c r="A1" s="78" t="s">
        <v>0</v>
      </c>
      <c r="B1" s="78" t="s">
        <v>1</v>
      </c>
      <c r="C1" s="79" t="s">
        <v>2</v>
      </c>
      <c r="D1" s="78" t="s">
        <v>3</v>
      </c>
      <c r="E1" s="78" t="s">
        <v>4</v>
      </c>
      <c r="F1" s="78" t="s">
        <v>5</v>
      </c>
      <c r="G1" s="78" t="s">
        <v>6</v>
      </c>
      <c r="H1" s="78" t="s">
        <v>7</v>
      </c>
      <c r="I1" s="78" t="s">
        <v>8</v>
      </c>
      <c r="J1" s="78" t="s">
        <v>9</v>
      </c>
      <c r="K1" s="78" t="s">
        <v>10</v>
      </c>
      <c r="L1" s="78" t="s">
        <v>11</v>
      </c>
      <c r="M1" s="78" t="s">
        <v>12</v>
      </c>
      <c r="N1" s="78" t="s">
        <v>13</v>
      </c>
      <c r="O1" s="78" t="s">
        <v>14</v>
      </c>
      <c r="P1" s="78" t="s">
        <v>15</v>
      </c>
      <c r="Q1" s="78" t="s">
        <v>16</v>
      </c>
      <c r="R1" s="78" t="s">
        <v>17</v>
      </c>
      <c r="S1" s="78" t="s">
        <v>18</v>
      </c>
      <c r="T1" s="78" t="s">
        <v>19</v>
      </c>
      <c r="U1" s="78" t="s">
        <v>20</v>
      </c>
      <c r="V1" s="78" t="s">
        <v>21</v>
      </c>
      <c r="W1" s="78" t="s">
        <v>22</v>
      </c>
      <c r="X1" s="78" t="s">
        <v>23</v>
      </c>
      <c r="Y1" s="78" t="s">
        <v>2</v>
      </c>
      <c r="Z1" s="78" t="s">
        <v>24</v>
      </c>
      <c r="AA1" s="78" t="s">
        <v>25</v>
      </c>
      <c r="AB1" s="78" t="s">
        <v>26</v>
      </c>
      <c r="AC1" s="78" t="s">
        <v>27</v>
      </c>
      <c r="AD1" s="78" t="s">
        <v>28</v>
      </c>
      <c r="AE1" s="78" t="s">
        <v>29</v>
      </c>
      <c r="AF1" s="80" t="s">
        <v>30</v>
      </c>
      <c r="AG1" s="81" t="s">
        <v>31</v>
      </c>
      <c r="AH1" s="81" t="s">
        <v>32</v>
      </c>
      <c r="AI1" s="78" t="s">
        <v>33</v>
      </c>
      <c r="AJ1" s="78" t="s">
        <v>34</v>
      </c>
      <c r="AK1" s="78" t="s">
        <v>35</v>
      </c>
    </row>
    <row r="2" spans="1:37" ht="57">
      <c r="A2" s="77">
        <v>1</v>
      </c>
      <c r="B2" s="77"/>
      <c r="C2" s="77" t="s">
        <v>36</v>
      </c>
      <c r="D2" s="36" t="s">
        <v>37</v>
      </c>
      <c r="E2" s="36" t="s">
        <v>38</v>
      </c>
      <c r="F2" s="36" t="s">
        <v>39</v>
      </c>
      <c r="G2" s="36" t="s">
        <v>40</v>
      </c>
      <c r="H2" s="36" t="s">
        <v>41</v>
      </c>
      <c r="I2" s="36"/>
      <c r="J2" s="36"/>
      <c r="K2" s="36"/>
      <c r="L2" s="36" t="s">
        <v>42</v>
      </c>
      <c r="M2" s="36"/>
      <c r="N2" s="36" t="s">
        <v>43</v>
      </c>
      <c r="O2" s="36" t="s">
        <v>44</v>
      </c>
      <c r="P2" s="36" t="s">
        <v>44</v>
      </c>
      <c r="Q2" s="36" t="s">
        <v>45</v>
      </c>
      <c r="R2" s="36" t="s">
        <v>46</v>
      </c>
      <c r="S2" s="36" t="s">
        <v>47</v>
      </c>
      <c r="T2" s="36" t="s">
        <v>48</v>
      </c>
      <c r="U2" s="36" t="s">
        <v>49</v>
      </c>
      <c r="V2" s="36" t="s">
        <v>50</v>
      </c>
      <c r="W2" s="36" t="s">
        <v>51</v>
      </c>
      <c r="X2" s="36" t="s">
        <v>52</v>
      </c>
      <c r="Y2" s="82" t="s">
        <v>53</v>
      </c>
      <c r="Z2" s="36" t="s">
        <v>54</v>
      </c>
      <c r="AA2" s="36" t="s">
        <v>55</v>
      </c>
      <c r="AB2" s="36" t="s">
        <v>56</v>
      </c>
      <c r="AC2" s="36" t="s">
        <v>57</v>
      </c>
      <c r="AD2" s="36"/>
      <c r="AE2" s="36"/>
      <c r="AF2" s="36"/>
      <c r="AG2" s="83"/>
      <c r="AH2" s="83"/>
      <c r="AI2" s="36"/>
      <c r="AK2" s="36"/>
    </row>
    <row r="3" spans="1:37" ht="71.25">
      <c r="A3" s="77">
        <v>2</v>
      </c>
      <c r="B3" s="77"/>
      <c r="C3" s="77" t="s">
        <v>36</v>
      </c>
      <c r="D3" s="36" t="s">
        <v>58</v>
      </c>
      <c r="E3" s="36" t="s">
        <v>59</v>
      </c>
      <c r="F3" s="36" t="s">
        <v>60</v>
      </c>
      <c r="G3" s="36" t="s">
        <v>61</v>
      </c>
      <c r="H3" s="36" t="s">
        <v>41</v>
      </c>
      <c r="I3" s="36"/>
      <c r="J3" s="36"/>
      <c r="K3" s="36"/>
      <c r="L3" s="36" t="s">
        <v>42</v>
      </c>
      <c r="M3" s="36"/>
      <c r="N3" s="36" t="s">
        <v>43</v>
      </c>
      <c r="O3" s="36" t="s">
        <v>62</v>
      </c>
      <c r="P3" s="36" t="s">
        <v>62</v>
      </c>
      <c r="Q3" s="36" t="s">
        <v>45</v>
      </c>
      <c r="R3" s="36" t="s">
        <v>46</v>
      </c>
      <c r="S3" s="36" t="s">
        <v>63</v>
      </c>
      <c r="T3" s="36" t="s">
        <v>48</v>
      </c>
      <c r="U3" s="36" t="s">
        <v>64</v>
      </c>
      <c r="V3" s="36" t="s">
        <v>65</v>
      </c>
      <c r="W3" s="36" t="s">
        <v>66</v>
      </c>
      <c r="X3" s="36" t="s">
        <v>67</v>
      </c>
      <c r="Y3" s="82" t="s">
        <v>68</v>
      </c>
      <c r="Z3" s="36" t="s">
        <v>69</v>
      </c>
      <c r="AA3" s="36" t="s">
        <v>55</v>
      </c>
      <c r="AB3" s="36" t="s">
        <v>70</v>
      </c>
      <c r="AC3" s="36" t="s">
        <v>71</v>
      </c>
      <c r="AD3" s="36" t="s">
        <v>72</v>
      </c>
      <c r="AE3" s="36"/>
      <c r="AF3" s="36"/>
      <c r="AG3" s="83"/>
      <c r="AH3" s="83"/>
      <c r="AI3" s="36"/>
      <c r="AK3" s="36"/>
    </row>
    <row r="4" spans="1:37" ht="42.75">
      <c r="A4" s="77">
        <v>3</v>
      </c>
      <c r="B4" s="77"/>
      <c r="C4" s="77" t="s">
        <v>36</v>
      </c>
      <c r="D4" s="36" t="s">
        <v>73</v>
      </c>
      <c r="E4" s="36" t="s">
        <v>74</v>
      </c>
      <c r="F4" s="36" t="s">
        <v>75</v>
      </c>
      <c r="G4" s="36" t="s">
        <v>76</v>
      </c>
      <c r="H4" s="36" t="s">
        <v>41</v>
      </c>
      <c r="I4" s="36"/>
      <c r="J4" s="36"/>
      <c r="K4" s="36"/>
      <c r="L4" s="36"/>
      <c r="M4" s="36"/>
      <c r="N4" s="36" t="s">
        <v>77</v>
      </c>
      <c r="O4" s="36" t="s">
        <v>62</v>
      </c>
      <c r="P4" s="36" t="s">
        <v>62</v>
      </c>
      <c r="Q4" s="36" t="s">
        <v>45</v>
      </c>
      <c r="R4" s="36"/>
      <c r="S4" s="36" t="s">
        <v>78</v>
      </c>
      <c r="T4" s="36" t="s">
        <v>79</v>
      </c>
      <c r="U4" s="36" t="s">
        <v>80</v>
      </c>
      <c r="V4" s="36" t="s">
        <v>81</v>
      </c>
      <c r="W4" s="36" t="s">
        <v>82</v>
      </c>
      <c r="X4" s="36" t="s">
        <v>83</v>
      </c>
      <c r="Y4" s="82" t="s">
        <v>84</v>
      </c>
      <c r="Z4" s="36" t="s">
        <v>85</v>
      </c>
      <c r="AA4" s="36" t="s">
        <v>55</v>
      </c>
      <c r="AB4" s="36" t="s">
        <v>86</v>
      </c>
      <c r="AC4" s="36" t="s">
        <v>87</v>
      </c>
      <c r="AD4" s="36"/>
      <c r="AE4" s="36"/>
      <c r="AF4" s="36"/>
      <c r="AG4" s="83"/>
      <c r="AH4" s="83"/>
      <c r="AI4" s="36"/>
      <c r="AK4" s="36"/>
    </row>
    <row r="5" spans="1:37" ht="85.5">
      <c r="A5" s="77">
        <v>4</v>
      </c>
      <c r="B5" s="77"/>
      <c r="C5" s="77" t="s">
        <v>36</v>
      </c>
      <c r="D5" s="36" t="s">
        <v>58</v>
      </c>
      <c r="E5" s="36" t="s">
        <v>88</v>
      </c>
      <c r="F5" s="36" t="s">
        <v>89</v>
      </c>
      <c r="G5" s="36" t="s">
        <v>90</v>
      </c>
      <c r="H5" s="36" t="s">
        <v>41</v>
      </c>
      <c r="I5" s="36"/>
      <c r="J5" s="36"/>
      <c r="K5" s="36"/>
      <c r="L5" s="36"/>
      <c r="M5" s="36"/>
      <c r="N5" s="36" t="s">
        <v>77</v>
      </c>
      <c r="O5" s="36" t="s">
        <v>62</v>
      </c>
      <c r="P5" s="36" t="s">
        <v>62</v>
      </c>
      <c r="Q5" s="36" t="s">
        <v>45</v>
      </c>
      <c r="R5" s="36"/>
      <c r="S5" s="36" t="s">
        <v>78</v>
      </c>
      <c r="T5" s="36" t="s">
        <v>48</v>
      </c>
      <c r="U5" s="36" t="s">
        <v>64</v>
      </c>
      <c r="V5" s="36" t="s">
        <v>91</v>
      </c>
      <c r="W5" s="36" t="s">
        <v>92</v>
      </c>
      <c r="X5" s="36" t="s">
        <v>93</v>
      </c>
      <c r="Y5" s="36" t="s">
        <v>94</v>
      </c>
      <c r="Z5" s="36" t="s">
        <v>95</v>
      </c>
      <c r="AA5" s="36" t="s">
        <v>55</v>
      </c>
      <c r="AB5" s="36" t="s">
        <v>96</v>
      </c>
      <c r="AC5" s="36" t="s">
        <v>97</v>
      </c>
      <c r="AD5" s="36"/>
      <c r="AE5" s="36"/>
      <c r="AF5" s="36"/>
      <c r="AG5" s="83"/>
      <c r="AH5" s="83"/>
      <c r="AI5" s="36"/>
      <c r="AK5" s="36"/>
    </row>
    <row r="6" spans="1:37" ht="42.75">
      <c r="A6" s="77">
        <v>5</v>
      </c>
      <c r="B6" s="77"/>
      <c r="C6" s="77" t="s">
        <v>36</v>
      </c>
      <c r="D6" s="36" t="s">
        <v>60</v>
      </c>
      <c r="E6" s="36" t="s">
        <v>98</v>
      </c>
      <c r="F6" s="36" t="s">
        <v>99</v>
      </c>
      <c r="G6" s="36" t="s">
        <v>100</v>
      </c>
      <c r="H6" s="36" t="s">
        <v>41</v>
      </c>
      <c r="I6" s="36"/>
      <c r="J6" s="36"/>
      <c r="K6" s="36"/>
      <c r="L6" s="36"/>
      <c r="M6" s="36"/>
      <c r="N6" s="36" t="s">
        <v>77</v>
      </c>
      <c r="O6" s="36" t="s">
        <v>62</v>
      </c>
      <c r="P6" s="36" t="s">
        <v>62</v>
      </c>
      <c r="Q6" s="36" t="s">
        <v>45</v>
      </c>
      <c r="R6" s="36"/>
      <c r="S6" s="36" t="s">
        <v>78</v>
      </c>
      <c r="T6" s="36" t="s">
        <v>48</v>
      </c>
      <c r="U6" s="36" t="s">
        <v>80</v>
      </c>
      <c r="V6" s="36" t="s">
        <v>101</v>
      </c>
      <c r="W6" s="36" t="s">
        <v>102</v>
      </c>
      <c r="X6" s="85" t="s">
        <v>103</v>
      </c>
      <c r="Y6" s="36" t="s">
        <v>104</v>
      </c>
      <c r="Z6" s="36" t="s">
        <v>95</v>
      </c>
      <c r="AA6" s="36" t="s">
        <v>55</v>
      </c>
      <c r="AB6" s="36" t="s">
        <v>105</v>
      </c>
      <c r="AC6" s="36"/>
      <c r="AD6" s="36"/>
      <c r="AE6" s="36"/>
      <c r="AF6" s="36"/>
      <c r="AG6" s="83"/>
      <c r="AH6" s="83"/>
      <c r="AI6" s="36"/>
      <c r="AK6" s="36"/>
    </row>
    <row r="7" spans="1:37" ht="71.25">
      <c r="A7" s="77">
        <v>6</v>
      </c>
      <c r="B7" s="77"/>
      <c r="C7" s="77" t="s">
        <v>106</v>
      </c>
      <c r="D7" s="36" t="s">
        <v>60</v>
      </c>
      <c r="E7" s="36" t="s">
        <v>107</v>
      </c>
      <c r="F7" s="36" t="s">
        <v>108</v>
      </c>
      <c r="G7" s="36" t="s">
        <v>109</v>
      </c>
      <c r="H7" s="36" t="s">
        <v>41</v>
      </c>
      <c r="I7" s="36"/>
      <c r="J7" s="36"/>
      <c r="K7" s="36"/>
      <c r="L7" s="36"/>
      <c r="M7" s="36"/>
      <c r="N7" s="36" t="s">
        <v>77</v>
      </c>
      <c r="O7" s="36" t="s">
        <v>110</v>
      </c>
      <c r="P7" s="36" t="s">
        <v>110</v>
      </c>
      <c r="Q7" s="36" t="s">
        <v>45</v>
      </c>
      <c r="R7" s="36"/>
      <c r="S7" s="36" t="s">
        <v>78</v>
      </c>
      <c r="T7" s="36" t="s">
        <v>48</v>
      </c>
      <c r="U7" s="36" t="s">
        <v>111</v>
      </c>
      <c r="V7" s="36" t="s">
        <v>112</v>
      </c>
      <c r="W7" s="36" t="s">
        <v>113</v>
      </c>
      <c r="X7" s="36" t="s">
        <v>114</v>
      </c>
      <c r="Y7" s="36" t="s">
        <v>115</v>
      </c>
      <c r="Z7" s="36" t="s">
        <v>116</v>
      </c>
      <c r="AA7" s="36" t="s">
        <v>55</v>
      </c>
      <c r="AB7" s="36" t="s">
        <v>117</v>
      </c>
      <c r="AC7" s="36"/>
      <c r="AD7" s="36"/>
      <c r="AE7" s="36"/>
      <c r="AF7" s="36"/>
      <c r="AG7" s="83"/>
      <c r="AH7" s="83"/>
      <c r="AI7" s="36"/>
      <c r="AK7" s="36"/>
    </row>
    <row r="8" spans="1:37" ht="85.5">
      <c r="A8" s="77">
        <v>7</v>
      </c>
      <c r="B8" s="77"/>
      <c r="C8" s="77" t="s">
        <v>118</v>
      </c>
      <c r="D8" s="36" t="s">
        <v>119</v>
      </c>
      <c r="E8" s="36" t="s">
        <v>40</v>
      </c>
      <c r="F8" s="36" t="s">
        <v>108</v>
      </c>
      <c r="G8" s="36" t="s">
        <v>61</v>
      </c>
      <c r="H8" s="36" t="s">
        <v>41</v>
      </c>
      <c r="I8" s="36"/>
      <c r="J8" s="36"/>
      <c r="K8" s="36"/>
      <c r="L8" s="36"/>
      <c r="M8" s="36"/>
      <c r="N8" s="36" t="s">
        <v>77</v>
      </c>
      <c r="O8" s="36" t="s">
        <v>110</v>
      </c>
      <c r="P8" s="36" t="s">
        <v>110</v>
      </c>
      <c r="Q8" s="36" t="s">
        <v>45</v>
      </c>
      <c r="R8" s="36"/>
      <c r="S8" s="36" t="s">
        <v>78</v>
      </c>
      <c r="T8" s="36" t="s">
        <v>48</v>
      </c>
      <c r="U8" s="36" t="s">
        <v>64</v>
      </c>
      <c r="V8" s="36" t="s">
        <v>120</v>
      </c>
      <c r="W8" s="36" t="s">
        <v>121</v>
      </c>
      <c r="X8" s="36" t="s">
        <v>122</v>
      </c>
      <c r="Y8" s="36" t="s">
        <v>123</v>
      </c>
      <c r="Z8" s="36" t="s">
        <v>95</v>
      </c>
      <c r="AA8" s="36" t="s">
        <v>55</v>
      </c>
      <c r="AB8" s="36" t="s">
        <v>117</v>
      </c>
      <c r="AC8" s="36" t="s">
        <v>124</v>
      </c>
      <c r="AD8" s="36"/>
      <c r="AE8" s="36"/>
      <c r="AF8" s="36"/>
      <c r="AG8" s="83"/>
      <c r="AH8" s="83"/>
      <c r="AI8" s="36"/>
      <c r="AK8" s="36"/>
    </row>
    <row r="9" spans="1:37" ht="57">
      <c r="A9" s="36">
        <v>8</v>
      </c>
      <c r="B9" s="36"/>
      <c r="C9" s="77" t="s">
        <v>36</v>
      </c>
      <c r="D9" s="36" t="s">
        <v>125</v>
      </c>
      <c r="E9" s="36" t="s">
        <v>126</v>
      </c>
      <c r="F9" s="36" t="s">
        <v>127</v>
      </c>
      <c r="G9" s="36" t="s">
        <v>99</v>
      </c>
      <c r="H9" s="36" t="s">
        <v>41</v>
      </c>
      <c r="I9" s="36"/>
      <c r="J9" s="36"/>
      <c r="K9" s="36"/>
      <c r="L9" s="36"/>
      <c r="M9" s="36"/>
      <c r="N9" s="36" t="s">
        <v>128</v>
      </c>
      <c r="O9" s="36" t="s">
        <v>129</v>
      </c>
      <c r="P9" s="36" t="s">
        <v>129</v>
      </c>
      <c r="Q9" s="36" t="s">
        <v>45</v>
      </c>
      <c r="R9" s="36"/>
      <c r="S9" s="36" t="s">
        <v>130</v>
      </c>
      <c r="T9" s="36" t="s">
        <v>48</v>
      </c>
      <c r="U9" s="36" t="s">
        <v>80</v>
      </c>
      <c r="V9" s="36" t="s">
        <v>131</v>
      </c>
      <c r="W9" s="36" t="s">
        <v>132</v>
      </c>
      <c r="X9" s="36" t="s">
        <v>133</v>
      </c>
      <c r="Y9" s="36" t="s">
        <v>134</v>
      </c>
      <c r="Z9" s="36" t="s">
        <v>85</v>
      </c>
      <c r="AA9" s="36" t="s">
        <v>55</v>
      </c>
      <c r="AB9" s="36" t="s">
        <v>135</v>
      </c>
      <c r="AC9" s="36" t="s">
        <v>136</v>
      </c>
      <c r="AD9" s="36"/>
      <c r="AE9" s="36"/>
      <c r="AF9" s="36"/>
      <c r="AG9" s="83"/>
      <c r="AH9" s="83"/>
      <c r="AI9" s="36"/>
      <c r="AK9" s="36"/>
    </row>
    <row r="10" spans="1:37" ht="42.75">
      <c r="A10" s="36">
        <v>9</v>
      </c>
      <c r="B10" s="36"/>
      <c r="C10" s="77" t="s">
        <v>118</v>
      </c>
      <c r="D10" s="36" t="s">
        <v>137</v>
      </c>
      <c r="E10" s="36" t="s">
        <v>138</v>
      </c>
      <c r="F10" s="36" t="s">
        <v>127</v>
      </c>
      <c r="G10" s="36" t="s">
        <v>99</v>
      </c>
      <c r="H10" s="36" t="s">
        <v>41</v>
      </c>
      <c r="I10" s="36"/>
      <c r="J10" s="36"/>
      <c r="K10" s="36"/>
      <c r="L10" s="36"/>
      <c r="M10" s="36"/>
      <c r="N10" s="36" t="s">
        <v>128</v>
      </c>
      <c r="O10" s="36" t="s">
        <v>129</v>
      </c>
      <c r="P10" s="36" t="s">
        <v>129</v>
      </c>
      <c r="Q10" s="36" t="s">
        <v>45</v>
      </c>
      <c r="R10" s="36"/>
      <c r="S10" s="36" t="s">
        <v>130</v>
      </c>
      <c r="T10" s="36" t="s">
        <v>48</v>
      </c>
      <c r="U10" s="36" t="s">
        <v>80</v>
      </c>
      <c r="V10" s="36" t="s">
        <v>139</v>
      </c>
      <c r="W10" s="36" t="s">
        <v>140</v>
      </c>
      <c r="X10" s="36" t="s">
        <v>141</v>
      </c>
      <c r="Y10" s="36" t="s">
        <v>84</v>
      </c>
      <c r="Z10" s="36" t="s">
        <v>54</v>
      </c>
      <c r="AA10" s="36" t="s">
        <v>55</v>
      </c>
      <c r="AB10" s="36" t="s">
        <v>135</v>
      </c>
      <c r="AC10" s="36" t="s">
        <v>136</v>
      </c>
      <c r="AD10" s="36"/>
      <c r="AE10" s="36"/>
      <c r="AF10" s="36"/>
      <c r="AG10" s="83"/>
      <c r="AH10" s="83"/>
      <c r="AI10" s="36"/>
      <c r="AK10" s="36"/>
    </row>
    <row r="11" spans="1:37" ht="57">
      <c r="A11" s="36">
        <v>10</v>
      </c>
      <c r="B11" s="36"/>
      <c r="C11" s="77" t="s">
        <v>118</v>
      </c>
      <c r="D11" s="36" t="s">
        <v>73</v>
      </c>
      <c r="E11" s="36" t="s">
        <v>142</v>
      </c>
      <c r="F11" s="36" t="s">
        <v>143</v>
      </c>
      <c r="G11" s="36" t="s">
        <v>144</v>
      </c>
      <c r="H11" s="36" t="s">
        <v>41</v>
      </c>
      <c r="I11" s="36"/>
      <c r="J11" s="36"/>
      <c r="K11" s="36"/>
      <c r="L11" s="36"/>
      <c r="M11" s="36"/>
      <c r="N11" s="36" t="s">
        <v>128</v>
      </c>
      <c r="O11" s="36" t="s">
        <v>145</v>
      </c>
      <c r="P11" s="36" t="s">
        <v>145</v>
      </c>
      <c r="Q11" s="36" t="s">
        <v>45</v>
      </c>
      <c r="R11" s="36"/>
      <c r="S11" s="36" t="s">
        <v>130</v>
      </c>
      <c r="T11" s="36" t="s">
        <v>48</v>
      </c>
      <c r="U11" s="36" t="s">
        <v>146</v>
      </c>
      <c r="V11" s="36" t="s">
        <v>147</v>
      </c>
      <c r="W11" s="36" t="s">
        <v>148</v>
      </c>
      <c r="X11" s="36" t="s">
        <v>149</v>
      </c>
      <c r="Y11" s="36" t="s">
        <v>150</v>
      </c>
      <c r="Z11" s="36" t="s">
        <v>54</v>
      </c>
      <c r="AA11" s="36" t="s">
        <v>55</v>
      </c>
      <c r="AB11" s="36" t="s">
        <v>151</v>
      </c>
      <c r="AC11" s="36"/>
      <c r="AD11" s="36"/>
      <c r="AE11" s="36"/>
      <c r="AF11" s="36"/>
      <c r="AG11" s="83"/>
      <c r="AH11" s="83"/>
      <c r="AI11" s="36"/>
      <c r="AK11" s="36"/>
    </row>
    <row r="12" spans="1:37" ht="71.25">
      <c r="A12" s="36">
        <v>11</v>
      </c>
      <c r="B12" s="36"/>
      <c r="C12" s="77" t="s">
        <v>118</v>
      </c>
      <c r="D12" s="36" t="s">
        <v>61</v>
      </c>
      <c r="E12" s="36" t="s">
        <v>152</v>
      </c>
      <c r="F12" s="36" t="s">
        <v>109</v>
      </c>
      <c r="G12" s="36" t="s">
        <v>153</v>
      </c>
      <c r="H12" s="36" t="s">
        <v>41</v>
      </c>
      <c r="I12" s="36"/>
      <c r="J12" s="36"/>
      <c r="K12" s="36"/>
      <c r="L12" s="36" t="s">
        <v>154</v>
      </c>
      <c r="M12" s="36"/>
      <c r="N12" s="36" t="s">
        <v>155</v>
      </c>
      <c r="O12" s="36" t="s">
        <v>156</v>
      </c>
      <c r="P12" s="36" t="s">
        <v>156</v>
      </c>
      <c r="Q12" s="36" t="s">
        <v>45</v>
      </c>
      <c r="R12" s="36" t="s">
        <v>157</v>
      </c>
      <c r="S12" s="36" t="s">
        <v>158</v>
      </c>
      <c r="T12" s="36" t="s">
        <v>48</v>
      </c>
      <c r="U12" s="36" t="s">
        <v>49</v>
      </c>
      <c r="V12" s="36" t="s">
        <v>159</v>
      </c>
      <c r="W12" s="36" t="s">
        <v>160</v>
      </c>
      <c r="X12" s="36" t="s">
        <v>161</v>
      </c>
      <c r="Y12" s="36" t="s">
        <v>162</v>
      </c>
      <c r="Z12" s="36" t="s">
        <v>95</v>
      </c>
      <c r="AA12" s="36" t="s">
        <v>55</v>
      </c>
      <c r="AB12" s="36" t="s">
        <v>163</v>
      </c>
      <c r="AC12" s="36"/>
      <c r="AD12" s="36"/>
      <c r="AE12" s="36"/>
      <c r="AF12" s="36"/>
      <c r="AG12" s="83"/>
      <c r="AH12" s="83"/>
      <c r="AI12" s="36"/>
      <c r="AK12" s="36"/>
    </row>
    <row r="13" spans="1:37" ht="42.75">
      <c r="A13" s="36">
        <v>12</v>
      </c>
      <c r="B13" s="36"/>
      <c r="C13" s="77" t="s">
        <v>118</v>
      </c>
      <c r="D13" s="36" t="s">
        <v>61</v>
      </c>
      <c r="E13" s="36" t="s">
        <v>152</v>
      </c>
      <c r="F13" s="36" t="s">
        <v>39</v>
      </c>
      <c r="G13" s="36" t="s">
        <v>164</v>
      </c>
      <c r="H13" s="36" t="s">
        <v>41</v>
      </c>
      <c r="I13" s="36"/>
      <c r="J13" s="36"/>
      <c r="K13" s="36"/>
      <c r="L13" s="36"/>
      <c r="M13" s="36"/>
      <c r="N13" s="36" t="s">
        <v>128</v>
      </c>
      <c r="O13" s="36" t="s">
        <v>156</v>
      </c>
      <c r="P13" s="36" t="s">
        <v>156</v>
      </c>
      <c r="Q13" s="36"/>
      <c r="R13" s="36"/>
      <c r="S13" s="36" t="s">
        <v>130</v>
      </c>
      <c r="T13" s="36" t="s">
        <v>48</v>
      </c>
      <c r="U13" s="36" t="s">
        <v>49</v>
      </c>
      <c r="V13" s="36" t="s">
        <v>165</v>
      </c>
      <c r="W13" s="36" t="s">
        <v>166</v>
      </c>
      <c r="X13" s="36" t="s">
        <v>167</v>
      </c>
      <c r="Y13" s="36" t="s">
        <v>168</v>
      </c>
      <c r="Z13" s="36" t="s">
        <v>54</v>
      </c>
      <c r="AA13" s="36" t="s">
        <v>55</v>
      </c>
      <c r="AB13" s="36" t="s">
        <v>169</v>
      </c>
      <c r="AC13" s="36" t="s">
        <v>170</v>
      </c>
      <c r="AD13" s="36"/>
      <c r="AE13" s="36"/>
      <c r="AF13" s="36"/>
      <c r="AG13" s="83"/>
      <c r="AH13" s="83"/>
      <c r="AI13" s="36"/>
      <c r="AK13" s="36"/>
    </row>
    <row r="14" spans="1:37" ht="57">
      <c r="A14" s="36">
        <v>13</v>
      </c>
      <c r="B14" s="36"/>
      <c r="C14" s="77" t="s">
        <v>106</v>
      </c>
      <c r="D14" s="36" t="s">
        <v>171</v>
      </c>
      <c r="E14" s="36" t="s">
        <v>127</v>
      </c>
      <c r="F14" s="36" t="s">
        <v>172</v>
      </c>
      <c r="G14" s="36" t="s">
        <v>173</v>
      </c>
      <c r="H14" s="36" t="s">
        <v>41</v>
      </c>
      <c r="I14" s="36"/>
      <c r="J14" s="36"/>
      <c r="K14" s="36"/>
      <c r="L14" s="36"/>
      <c r="M14" s="36"/>
      <c r="N14" s="36" t="s">
        <v>174</v>
      </c>
      <c r="O14" s="36" t="s">
        <v>62</v>
      </c>
      <c r="P14" s="36" t="s">
        <v>62</v>
      </c>
      <c r="Q14" s="36" t="s">
        <v>175</v>
      </c>
      <c r="R14" s="36"/>
      <c r="S14" s="85" t="s">
        <v>176</v>
      </c>
      <c r="T14" s="36" t="s">
        <v>79</v>
      </c>
      <c r="U14" s="36" t="s">
        <v>64</v>
      </c>
      <c r="V14" s="36" t="s">
        <v>177</v>
      </c>
      <c r="W14" s="36" t="s">
        <v>178</v>
      </c>
      <c r="X14" s="36" t="s">
        <v>179</v>
      </c>
      <c r="Y14" s="36" t="s">
        <v>180</v>
      </c>
      <c r="Z14" s="36" t="s">
        <v>116</v>
      </c>
      <c r="AA14" s="36" t="s">
        <v>55</v>
      </c>
      <c r="AB14" s="36" t="s">
        <v>181</v>
      </c>
      <c r="AC14" s="36"/>
      <c r="AD14" s="36"/>
      <c r="AE14" s="36" t="s">
        <v>182</v>
      </c>
      <c r="AF14" s="36"/>
      <c r="AG14" s="83"/>
      <c r="AH14" s="83"/>
      <c r="AI14" s="36"/>
      <c r="AK14" s="36"/>
    </row>
    <row r="15" spans="1:37" ht="42.75">
      <c r="A15" s="36">
        <v>14</v>
      </c>
      <c r="B15" s="36"/>
      <c r="C15" s="77" t="s">
        <v>106</v>
      </c>
      <c r="D15" s="36" t="s">
        <v>183</v>
      </c>
      <c r="E15" s="36" t="s">
        <v>184</v>
      </c>
      <c r="F15" s="36" t="s">
        <v>109</v>
      </c>
      <c r="G15" s="36" t="s">
        <v>172</v>
      </c>
      <c r="H15" s="36" t="s">
        <v>41</v>
      </c>
      <c r="I15" s="36"/>
      <c r="J15" s="36"/>
      <c r="K15" s="36"/>
      <c r="L15" s="36"/>
      <c r="M15" s="36"/>
      <c r="N15" s="36" t="s">
        <v>174</v>
      </c>
      <c r="O15" s="36" t="s">
        <v>156</v>
      </c>
      <c r="P15" s="36" t="s">
        <v>156</v>
      </c>
      <c r="Q15" s="36" t="s">
        <v>175</v>
      </c>
      <c r="R15" s="36"/>
      <c r="S15" s="85" t="s">
        <v>176</v>
      </c>
      <c r="T15" s="36" t="s">
        <v>48</v>
      </c>
      <c r="U15" s="36" t="s">
        <v>111</v>
      </c>
      <c r="V15" s="36" t="s">
        <v>185</v>
      </c>
      <c r="W15" s="36" t="s">
        <v>186</v>
      </c>
      <c r="X15" s="36" t="s">
        <v>187</v>
      </c>
      <c r="Y15" s="36" t="s">
        <v>188</v>
      </c>
      <c r="Z15" s="36" t="s">
        <v>116</v>
      </c>
      <c r="AA15" s="36" t="s">
        <v>55</v>
      </c>
      <c r="AB15" s="36" t="s">
        <v>189</v>
      </c>
      <c r="AC15" s="36"/>
      <c r="AD15" s="36"/>
      <c r="AE15" s="36"/>
      <c r="AF15" s="36"/>
      <c r="AG15" s="83"/>
      <c r="AH15" s="83"/>
      <c r="AI15" s="36"/>
      <c r="AK15" s="36"/>
    </row>
    <row r="16" spans="1:37" ht="42.75">
      <c r="A16" s="36">
        <v>15</v>
      </c>
      <c r="B16" s="36"/>
      <c r="C16" s="77" t="s">
        <v>106</v>
      </c>
      <c r="D16" s="36" t="s">
        <v>190</v>
      </c>
      <c r="E16" s="36" t="s">
        <v>40</v>
      </c>
      <c r="F16" s="36" t="s">
        <v>60</v>
      </c>
      <c r="G16" s="36" t="s">
        <v>164</v>
      </c>
      <c r="H16" s="36" t="s">
        <v>41</v>
      </c>
      <c r="I16" s="36"/>
      <c r="J16" s="36"/>
      <c r="K16" s="36"/>
      <c r="L16" s="36"/>
      <c r="M16" s="36"/>
      <c r="N16" s="36" t="s">
        <v>128</v>
      </c>
      <c r="O16" s="36" t="s">
        <v>62</v>
      </c>
      <c r="P16" s="36" t="s">
        <v>62</v>
      </c>
      <c r="Q16" s="36" t="s">
        <v>175</v>
      </c>
      <c r="R16" s="36"/>
      <c r="S16" s="36" t="s">
        <v>130</v>
      </c>
      <c r="T16" s="36" t="s">
        <v>48</v>
      </c>
      <c r="U16" s="36" t="s">
        <v>64</v>
      </c>
      <c r="V16" s="36" t="s">
        <v>191</v>
      </c>
      <c r="W16" s="36" t="s">
        <v>192</v>
      </c>
      <c r="X16" s="36" t="s">
        <v>193</v>
      </c>
      <c r="Y16" s="36" t="s">
        <v>194</v>
      </c>
      <c r="Z16" s="36" t="s">
        <v>116</v>
      </c>
      <c r="AA16" s="36" t="s">
        <v>55</v>
      </c>
      <c r="AB16" s="36" t="s">
        <v>195</v>
      </c>
      <c r="AC16" s="36" t="s">
        <v>196</v>
      </c>
      <c r="AD16" s="36"/>
      <c r="AE16" s="36"/>
      <c r="AF16" s="36"/>
      <c r="AG16" s="83"/>
      <c r="AH16" s="83"/>
      <c r="AI16" s="36"/>
      <c r="AK16" s="36"/>
    </row>
    <row r="17" spans="1:37" ht="42.75">
      <c r="A17" s="36">
        <v>16</v>
      </c>
      <c r="B17" s="36"/>
      <c r="C17" s="77" t="s">
        <v>106</v>
      </c>
      <c r="D17" s="36" t="s">
        <v>197</v>
      </c>
      <c r="E17" s="36" t="s">
        <v>198</v>
      </c>
      <c r="F17" s="36" t="s">
        <v>109</v>
      </c>
      <c r="G17" s="36" t="s">
        <v>173</v>
      </c>
      <c r="H17" s="36" t="s">
        <v>41</v>
      </c>
      <c r="I17" s="36"/>
      <c r="J17" s="36"/>
      <c r="K17" s="36"/>
      <c r="L17" s="36"/>
      <c r="M17" s="36"/>
      <c r="N17" s="36" t="s">
        <v>174</v>
      </c>
      <c r="O17" s="36" t="s">
        <v>156</v>
      </c>
      <c r="P17" s="36" t="s">
        <v>156</v>
      </c>
      <c r="Q17" s="36" t="s">
        <v>175</v>
      </c>
      <c r="R17" s="36"/>
      <c r="S17" s="85" t="s">
        <v>176</v>
      </c>
      <c r="T17" s="36" t="s">
        <v>48</v>
      </c>
      <c r="U17" s="36" t="s">
        <v>111</v>
      </c>
      <c r="V17" s="36" t="s">
        <v>199</v>
      </c>
      <c r="W17" s="36" t="s">
        <v>200</v>
      </c>
      <c r="X17" s="36" t="s">
        <v>201</v>
      </c>
      <c r="Y17" s="36" t="s">
        <v>202</v>
      </c>
      <c r="Z17" s="36" t="s">
        <v>116</v>
      </c>
      <c r="AA17" s="36" t="s">
        <v>55</v>
      </c>
      <c r="AB17" s="36" t="s">
        <v>189</v>
      </c>
      <c r="AC17" s="36" t="s">
        <v>203</v>
      </c>
      <c r="AD17" s="36"/>
      <c r="AE17" s="36"/>
      <c r="AF17" s="36"/>
      <c r="AG17" s="83"/>
      <c r="AH17" s="83"/>
      <c r="AI17" s="36"/>
      <c r="AK17" s="36"/>
    </row>
    <row r="18" spans="1:37" ht="42.75">
      <c r="A18" s="36">
        <v>17</v>
      </c>
      <c r="B18" s="36"/>
      <c r="C18" s="77" t="s">
        <v>106</v>
      </c>
      <c r="D18" s="36" t="s">
        <v>137</v>
      </c>
      <c r="E18" s="36" t="s">
        <v>198</v>
      </c>
      <c r="F18" s="36" t="s">
        <v>60</v>
      </c>
      <c r="G18" s="36" t="s">
        <v>75</v>
      </c>
      <c r="H18" s="36" t="s">
        <v>41</v>
      </c>
      <c r="I18" s="36"/>
      <c r="J18" s="36"/>
      <c r="K18" s="36"/>
      <c r="L18" s="36"/>
      <c r="M18" s="36"/>
      <c r="N18" s="36" t="s">
        <v>128</v>
      </c>
      <c r="O18" s="36" t="s">
        <v>62</v>
      </c>
      <c r="P18" s="36" t="s">
        <v>62</v>
      </c>
      <c r="Q18" s="36" t="s">
        <v>175</v>
      </c>
      <c r="R18" s="36"/>
      <c r="S18" s="36" t="s">
        <v>204</v>
      </c>
      <c r="T18" s="36" t="s">
        <v>48</v>
      </c>
      <c r="U18" s="36" t="s">
        <v>64</v>
      </c>
      <c r="V18" s="36" t="s">
        <v>205</v>
      </c>
      <c r="W18" s="36" t="s">
        <v>206</v>
      </c>
      <c r="X18" s="36" t="s">
        <v>207</v>
      </c>
      <c r="Y18" s="36" t="s">
        <v>208</v>
      </c>
      <c r="Z18" s="36" t="s">
        <v>116</v>
      </c>
      <c r="AA18" s="36" t="s">
        <v>55</v>
      </c>
      <c r="AB18" s="36" t="s">
        <v>209</v>
      </c>
      <c r="AC18" s="36" t="s">
        <v>210</v>
      </c>
      <c r="AD18" s="36" t="s">
        <v>211</v>
      </c>
      <c r="AE18" s="36"/>
      <c r="AF18" s="36"/>
      <c r="AG18" s="83"/>
      <c r="AH18" s="83"/>
      <c r="AI18" s="36"/>
      <c r="AK18" s="36"/>
    </row>
    <row r="19" spans="1:37" ht="57">
      <c r="A19" s="36">
        <v>18</v>
      </c>
      <c r="B19" s="36"/>
      <c r="C19" s="77" t="s">
        <v>106</v>
      </c>
      <c r="D19" s="36" t="s">
        <v>100</v>
      </c>
      <c r="E19" s="36" t="s">
        <v>38</v>
      </c>
      <c r="F19" s="36" t="s">
        <v>212</v>
      </c>
      <c r="G19" s="36" t="s">
        <v>88</v>
      </c>
      <c r="H19" s="36" t="s">
        <v>41</v>
      </c>
      <c r="I19" s="36"/>
      <c r="J19" s="36"/>
      <c r="K19" s="36"/>
      <c r="L19" s="36"/>
      <c r="M19" s="36"/>
      <c r="N19" s="36" t="s">
        <v>128</v>
      </c>
      <c r="O19" s="36" t="s">
        <v>44</v>
      </c>
      <c r="P19" s="36" t="s">
        <v>44</v>
      </c>
      <c r="Q19" s="36" t="s">
        <v>175</v>
      </c>
      <c r="R19" s="36"/>
      <c r="S19" s="36" t="s">
        <v>204</v>
      </c>
      <c r="T19" s="36" t="s">
        <v>48</v>
      </c>
      <c r="U19" s="36" t="s">
        <v>213</v>
      </c>
      <c r="V19" s="36" t="s">
        <v>214</v>
      </c>
      <c r="W19" s="36" t="s">
        <v>215</v>
      </c>
      <c r="X19" s="36" t="s">
        <v>216</v>
      </c>
      <c r="Y19" s="36" t="s">
        <v>188</v>
      </c>
      <c r="Z19" s="36" t="s">
        <v>116</v>
      </c>
      <c r="AA19" s="36" t="s">
        <v>55</v>
      </c>
      <c r="AB19" s="36" t="s">
        <v>217</v>
      </c>
      <c r="AC19" s="36"/>
      <c r="AD19" s="36"/>
      <c r="AE19" s="36"/>
      <c r="AF19" s="36"/>
      <c r="AG19" s="83"/>
      <c r="AH19" s="83"/>
      <c r="AI19" s="36"/>
      <c r="AK19" s="36"/>
    </row>
    <row r="20" spans="1:37" ht="42.75">
      <c r="A20" s="36">
        <v>19</v>
      </c>
      <c r="B20" s="36"/>
      <c r="C20" s="77" t="s">
        <v>106</v>
      </c>
      <c r="D20" s="36" t="s">
        <v>218</v>
      </c>
      <c r="E20" s="36" t="s">
        <v>219</v>
      </c>
      <c r="F20" s="36" t="s">
        <v>89</v>
      </c>
      <c r="G20" s="36" t="s">
        <v>38</v>
      </c>
      <c r="H20" s="36" t="s">
        <v>41</v>
      </c>
      <c r="I20" s="36"/>
      <c r="J20" s="36"/>
      <c r="K20" s="36"/>
      <c r="L20" s="36"/>
      <c r="M20" s="36"/>
      <c r="N20" s="36" t="s">
        <v>174</v>
      </c>
      <c r="O20" s="36" t="s">
        <v>62</v>
      </c>
      <c r="P20" s="36" t="s">
        <v>62</v>
      </c>
      <c r="Q20" s="36" t="s">
        <v>175</v>
      </c>
      <c r="R20" s="36"/>
      <c r="S20" s="85" t="s">
        <v>176</v>
      </c>
      <c r="T20" s="36" t="s">
        <v>79</v>
      </c>
      <c r="U20" s="36" t="s">
        <v>213</v>
      </c>
      <c r="V20" s="36" t="s">
        <v>220</v>
      </c>
      <c r="W20" s="36" t="s">
        <v>221</v>
      </c>
      <c r="X20" s="36" t="s">
        <v>222</v>
      </c>
      <c r="Y20" s="36" t="s">
        <v>223</v>
      </c>
      <c r="Z20" s="36" t="s">
        <v>116</v>
      </c>
      <c r="AA20" s="36" t="s">
        <v>55</v>
      </c>
      <c r="AB20" s="36" t="s">
        <v>224</v>
      </c>
      <c r="AC20" s="36" t="s">
        <v>225</v>
      </c>
      <c r="AD20" s="36"/>
      <c r="AE20" s="36"/>
      <c r="AF20" s="36"/>
      <c r="AG20" s="83"/>
      <c r="AH20" s="83"/>
      <c r="AI20" s="36"/>
      <c r="AK20" s="36"/>
    </row>
    <row r="21" spans="1:37" ht="42.75">
      <c r="A21" s="36">
        <v>20</v>
      </c>
      <c r="B21" s="36"/>
      <c r="C21" s="77" t="s">
        <v>106</v>
      </c>
      <c r="D21" s="36" t="s">
        <v>98</v>
      </c>
      <c r="E21" s="36" t="s">
        <v>226</v>
      </c>
      <c r="F21" s="36" t="s">
        <v>227</v>
      </c>
      <c r="G21" s="36" t="s">
        <v>228</v>
      </c>
      <c r="H21" s="36" t="s">
        <v>41</v>
      </c>
      <c r="I21" s="36"/>
      <c r="J21" s="36"/>
      <c r="K21" s="36"/>
      <c r="L21" s="36"/>
      <c r="M21" s="36"/>
      <c r="N21" s="36" t="s">
        <v>174</v>
      </c>
      <c r="O21" s="36" t="s">
        <v>62</v>
      </c>
      <c r="P21" s="36" t="s">
        <v>62</v>
      </c>
      <c r="Q21" s="36" t="s">
        <v>175</v>
      </c>
      <c r="R21" s="36"/>
      <c r="S21" s="85" t="s">
        <v>176</v>
      </c>
      <c r="T21" s="36" t="s">
        <v>48</v>
      </c>
      <c r="U21" s="36" t="s">
        <v>229</v>
      </c>
      <c r="V21" s="36" t="s">
        <v>230</v>
      </c>
      <c r="W21" s="36" t="s">
        <v>231</v>
      </c>
      <c r="X21" s="36" t="s">
        <v>232</v>
      </c>
      <c r="Y21" s="36" t="s">
        <v>233</v>
      </c>
      <c r="Z21" s="36" t="s">
        <v>116</v>
      </c>
      <c r="AA21" s="36" t="s">
        <v>55</v>
      </c>
      <c r="AB21" s="36" t="s">
        <v>234</v>
      </c>
      <c r="AC21" s="36" t="s">
        <v>235</v>
      </c>
      <c r="AD21" s="36"/>
      <c r="AE21" s="36"/>
      <c r="AF21" s="36"/>
      <c r="AG21" s="83"/>
      <c r="AH21" s="83"/>
      <c r="AI21" s="36"/>
      <c r="AK21" s="36"/>
    </row>
    <row r="22" spans="1:37" ht="57">
      <c r="A22" s="36">
        <v>21</v>
      </c>
      <c r="B22" s="36"/>
      <c r="C22" s="77" t="s">
        <v>106</v>
      </c>
      <c r="D22" s="36" t="s">
        <v>236</v>
      </c>
      <c r="E22" s="36" t="s">
        <v>90</v>
      </c>
      <c r="F22" s="36" t="s">
        <v>109</v>
      </c>
      <c r="G22" s="36" t="s">
        <v>60</v>
      </c>
      <c r="H22" s="36" t="s">
        <v>41</v>
      </c>
      <c r="I22" s="36"/>
      <c r="J22" s="36"/>
      <c r="K22" s="36"/>
      <c r="L22" s="36"/>
      <c r="M22" s="36"/>
      <c r="N22" s="36" t="s">
        <v>174</v>
      </c>
      <c r="O22" s="36" t="s">
        <v>156</v>
      </c>
      <c r="P22" s="36" t="s">
        <v>156</v>
      </c>
      <c r="Q22" s="36" t="s">
        <v>175</v>
      </c>
      <c r="R22" s="36"/>
      <c r="S22" s="85" t="s">
        <v>176</v>
      </c>
      <c r="T22" s="36" t="s">
        <v>48</v>
      </c>
      <c r="U22" s="36" t="s">
        <v>64</v>
      </c>
      <c r="V22" s="36" t="s">
        <v>237</v>
      </c>
      <c r="W22" s="36" t="s">
        <v>238</v>
      </c>
      <c r="X22" s="36" t="s">
        <v>239</v>
      </c>
      <c r="Y22" s="36" t="s">
        <v>240</v>
      </c>
      <c r="Z22" s="36" t="s">
        <v>116</v>
      </c>
      <c r="AA22" s="36" t="s">
        <v>55</v>
      </c>
      <c r="AB22" s="36" t="s">
        <v>241</v>
      </c>
      <c r="AC22" s="36" t="s">
        <v>87</v>
      </c>
      <c r="AD22" s="36"/>
      <c r="AE22" s="36"/>
      <c r="AF22" s="36"/>
      <c r="AG22" s="83"/>
      <c r="AH22" s="83"/>
      <c r="AI22" s="36"/>
      <c r="AK22" s="36"/>
    </row>
    <row r="23" spans="1:37" ht="57">
      <c r="A23" s="36">
        <v>22</v>
      </c>
      <c r="B23" s="36"/>
      <c r="C23" s="77" t="s">
        <v>242</v>
      </c>
      <c r="D23" s="36" t="s">
        <v>152</v>
      </c>
      <c r="E23" s="36" t="s">
        <v>88</v>
      </c>
      <c r="F23" s="36" t="s">
        <v>61</v>
      </c>
      <c r="G23" s="36" t="s">
        <v>243</v>
      </c>
      <c r="H23" s="36" t="s">
        <v>41</v>
      </c>
      <c r="I23" s="36"/>
      <c r="J23" s="36"/>
      <c r="K23" s="36"/>
      <c r="L23" s="36"/>
      <c r="M23" s="36"/>
      <c r="N23" s="36" t="s">
        <v>244</v>
      </c>
      <c r="O23" s="36" t="s">
        <v>62</v>
      </c>
      <c r="P23" s="36" t="s">
        <v>62</v>
      </c>
      <c r="Q23" s="36" t="s">
        <v>245</v>
      </c>
      <c r="R23" s="36"/>
      <c r="S23" s="36" t="s">
        <v>204</v>
      </c>
      <c r="T23" s="36" t="s">
        <v>48</v>
      </c>
      <c r="U23" s="36" t="s">
        <v>49</v>
      </c>
      <c r="V23" s="36" t="s">
        <v>246</v>
      </c>
      <c r="W23" s="36" t="s">
        <v>247</v>
      </c>
      <c r="X23" s="36" t="s">
        <v>248</v>
      </c>
      <c r="Y23" s="36" t="s">
        <v>249</v>
      </c>
      <c r="Z23" s="36" t="s">
        <v>116</v>
      </c>
      <c r="AA23" s="36" t="s">
        <v>55</v>
      </c>
      <c r="AB23" s="36" t="s">
        <v>250</v>
      </c>
      <c r="AC23" s="36" t="s">
        <v>251</v>
      </c>
      <c r="AD23" s="36"/>
      <c r="AE23" s="36"/>
      <c r="AF23" s="36"/>
      <c r="AG23" s="83"/>
      <c r="AH23" s="83"/>
      <c r="AI23" s="36"/>
      <c r="AK23" s="36"/>
    </row>
    <row r="24" spans="1:37" ht="42.75">
      <c r="A24" s="36">
        <v>23</v>
      </c>
      <c r="B24" s="36"/>
      <c r="C24" s="77" t="s">
        <v>242</v>
      </c>
      <c r="D24" s="36" t="s">
        <v>90</v>
      </c>
      <c r="E24" s="36" t="s">
        <v>252</v>
      </c>
      <c r="F24" s="36" t="s">
        <v>108</v>
      </c>
      <c r="G24" s="36" t="s">
        <v>164</v>
      </c>
      <c r="H24" s="36" t="s">
        <v>41</v>
      </c>
      <c r="I24" s="36"/>
      <c r="J24" s="36"/>
      <c r="K24" s="36"/>
      <c r="L24" s="36"/>
      <c r="M24" s="36"/>
      <c r="N24" s="36" t="s">
        <v>244</v>
      </c>
      <c r="O24" s="36" t="s">
        <v>253</v>
      </c>
      <c r="P24" s="36" t="s">
        <v>253</v>
      </c>
      <c r="Q24" s="36" t="s">
        <v>245</v>
      </c>
      <c r="R24" s="36"/>
      <c r="S24" s="36" t="s">
        <v>204</v>
      </c>
      <c r="T24" s="36" t="s">
        <v>48</v>
      </c>
      <c r="U24" s="36" t="s">
        <v>49</v>
      </c>
      <c r="V24" s="36" t="s">
        <v>254</v>
      </c>
      <c r="W24" s="36" t="s">
        <v>255</v>
      </c>
      <c r="X24" s="36" t="s">
        <v>256</v>
      </c>
      <c r="Y24" s="36" t="s">
        <v>257</v>
      </c>
      <c r="Z24" s="36" t="s">
        <v>116</v>
      </c>
      <c r="AA24" s="36" t="s">
        <v>55</v>
      </c>
      <c r="AB24" s="36" t="s">
        <v>258</v>
      </c>
      <c r="AC24" s="36"/>
      <c r="AD24" s="36"/>
      <c r="AE24" s="36"/>
      <c r="AF24" s="36"/>
      <c r="AG24" s="83"/>
      <c r="AH24" s="83"/>
      <c r="AI24" s="36"/>
      <c r="AK24" s="36"/>
    </row>
    <row r="25" spans="1:37" ht="57">
      <c r="A25" s="36">
        <v>24</v>
      </c>
      <c r="B25" s="36"/>
      <c r="C25" s="77" t="s">
        <v>242</v>
      </c>
      <c r="D25" s="36" t="s">
        <v>100</v>
      </c>
      <c r="E25" s="36" t="s">
        <v>75</v>
      </c>
      <c r="F25" s="36" t="s">
        <v>109</v>
      </c>
      <c r="G25" s="36" t="s">
        <v>171</v>
      </c>
      <c r="H25" s="36" t="s">
        <v>41</v>
      </c>
      <c r="I25" s="36"/>
      <c r="J25" s="36"/>
      <c r="K25" s="36"/>
      <c r="L25" s="36"/>
      <c r="M25" s="36"/>
      <c r="N25" s="36" t="s">
        <v>244</v>
      </c>
      <c r="O25" s="36" t="s">
        <v>259</v>
      </c>
      <c r="P25" s="36" t="s">
        <v>259</v>
      </c>
      <c r="Q25" s="36" t="s">
        <v>245</v>
      </c>
      <c r="R25" s="36"/>
      <c r="S25" s="36" t="s">
        <v>204</v>
      </c>
      <c r="T25" s="36" t="s">
        <v>48</v>
      </c>
      <c r="U25" s="36" t="s">
        <v>111</v>
      </c>
      <c r="V25" s="36" t="s">
        <v>260</v>
      </c>
      <c r="W25" s="36" t="s">
        <v>261</v>
      </c>
      <c r="X25" s="36" t="s">
        <v>262</v>
      </c>
      <c r="Y25" s="24" t="s">
        <v>263</v>
      </c>
      <c r="Z25" s="24" t="s">
        <v>116</v>
      </c>
      <c r="AA25" s="36" t="s">
        <v>55</v>
      </c>
      <c r="AB25" s="36" t="s">
        <v>264</v>
      </c>
      <c r="AC25" s="36" t="s">
        <v>265</v>
      </c>
      <c r="AD25" s="36"/>
      <c r="AE25" s="36" t="s">
        <v>266</v>
      </c>
      <c r="AF25" s="36"/>
      <c r="AG25" s="83"/>
      <c r="AH25" s="83"/>
      <c r="AI25" s="36"/>
      <c r="AK25" s="36"/>
    </row>
    <row r="26" spans="1:37" ht="85.5">
      <c r="A26" s="36">
        <v>25</v>
      </c>
      <c r="B26" s="36"/>
      <c r="C26" s="77" t="s">
        <v>267</v>
      </c>
      <c r="D26" s="36" t="s">
        <v>58</v>
      </c>
      <c r="E26" s="36" t="s">
        <v>268</v>
      </c>
      <c r="F26" s="36" t="s">
        <v>100</v>
      </c>
      <c r="G26" s="36" t="s">
        <v>269</v>
      </c>
      <c r="H26" s="36" t="s">
        <v>41</v>
      </c>
      <c r="I26" s="36"/>
      <c r="J26" s="36"/>
      <c r="K26" s="36"/>
      <c r="L26" s="36"/>
      <c r="M26" s="36"/>
      <c r="N26" s="36" t="s">
        <v>270</v>
      </c>
      <c r="O26" s="36" t="s">
        <v>271</v>
      </c>
      <c r="P26" s="36" t="s">
        <v>271</v>
      </c>
      <c r="Q26" s="36" t="s">
        <v>272</v>
      </c>
      <c r="R26" s="36"/>
      <c r="S26" s="85" t="s">
        <v>273</v>
      </c>
      <c r="T26" s="36" t="s">
        <v>48</v>
      </c>
      <c r="U26" s="36" t="s">
        <v>49</v>
      </c>
      <c r="V26" s="36" t="s">
        <v>274</v>
      </c>
      <c r="W26" s="36" t="s">
        <v>275</v>
      </c>
      <c r="X26" s="36" t="s">
        <v>276</v>
      </c>
      <c r="Y26" s="36" t="s">
        <v>277</v>
      </c>
      <c r="Z26" s="24" t="s">
        <v>116</v>
      </c>
      <c r="AA26" s="36" t="s">
        <v>55</v>
      </c>
      <c r="AB26" s="36" t="s">
        <v>278</v>
      </c>
      <c r="AC26" s="36" t="s">
        <v>279</v>
      </c>
      <c r="AD26" s="36" t="s">
        <v>280</v>
      </c>
      <c r="AE26" s="36" t="s">
        <v>281</v>
      </c>
      <c r="AF26" s="36"/>
      <c r="AG26" s="83"/>
      <c r="AH26" s="83"/>
      <c r="AI26" s="36"/>
      <c r="AK26" s="36"/>
    </row>
    <row r="27" spans="1:37" ht="42.75">
      <c r="A27" s="36">
        <v>26</v>
      </c>
      <c r="B27" s="36"/>
      <c r="C27" s="77" t="s">
        <v>267</v>
      </c>
      <c r="D27" s="36" t="s">
        <v>282</v>
      </c>
      <c r="E27" s="36" t="s">
        <v>125</v>
      </c>
      <c r="F27" s="36" t="s">
        <v>283</v>
      </c>
      <c r="G27" s="36" t="s">
        <v>284</v>
      </c>
      <c r="H27" s="36" t="s">
        <v>41</v>
      </c>
      <c r="I27" s="36"/>
      <c r="J27" s="36"/>
      <c r="K27" s="36"/>
      <c r="L27" s="36"/>
      <c r="M27" s="36"/>
      <c r="N27" s="36" t="s">
        <v>174</v>
      </c>
      <c r="O27" s="36" t="s">
        <v>62</v>
      </c>
      <c r="P27" s="36" t="s">
        <v>62</v>
      </c>
      <c r="Q27" s="36" t="s">
        <v>285</v>
      </c>
      <c r="R27" s="36"/>
      <c r="S27" s="85" t="s">
        <v>176</v>
      </c>
      <c r="T27" s="36" t="s">
        <v>286</v>
      </c>
      <c r="U27" s="36" t="s">
        <v>287</v>
      </c>
      <c r="V27" s="36" t="s">
        <v>288</v>
      </c>
      <c r="W27" s="36" t="s">
        <v>289</v>
      </c>
      <c r="X27" s="36" t="s">
        <v>290</v>
      </c>
      <c r="Y27" s="36" t="s">
        <v>291</v>
      </c>
      <c r="Z27" s="24" t="s">
        <v>116</v>
      </c>
      <c r="AA27" s="36" t="s">
        <v>55</v>
      </c>
      <c r="AB27" s="36" t="s">
        <v>292</v>
      </c>
      <c r="AC27" s="36"/>
      <c r="AD27" s="36"/>
      <c r="AE27" s="36"/>
      <c r="AF27" s="36"/>
      <c r="AG27" s="83"/>
      <c r="AH27" s="83"/>
      <c r="AI27" s="36"/>
      <c r="AK27" s="36"/>
    </row>
    <row r="28" spans="1:37" ht="57">
      <c r="A28" s="36">
        <v>27</v>
      </c>
      <c r="B28" s="36"/>
      <c r="C28" s="77" t="s">
        <v>267</v>
      </c>
      <c r="D28" s="36" t="s">
        <v>219</v>
      </c>
      <c r="E28" s="36" t="s">
        <v>293</v>
      </c>
      <c r="F28" s="36" t="s">
        <v>212</v>
      </c>
      <c r="G28" s="36" t="s">
        <v>38</v>
      </c>
      <c r="H28" s="36" t="s">
        <v>41</v>
      </c>
      <c r="I28" s="36"/>
      <c r="J28" s="36"/>
      <c r="K28" s="36"/>
      <c r="L28" s="36"/>
      <c r="M28" s="36"/>
      <c r="N28" s="36" t="s">
        <v>174</v>
      </c>
      <c r="O28" s="36" t="s">
        <v>271</v>
      </c>
      <c r="P28" s="36" t="s">
        <v>271</v>
      </c>
      <c r="Q28" s="36" t="s">
        <v>285</v>
      </c>
      <c r="R28" s="36"/>
      <c r="S28" s="85" t="s">
        <v>176</v>
      </c>
      <c r="T28" s="36" t="s">
        <v>48</v>
      </c>
      <c r="U28" s="36" t="s">
        <v>213</v>
      </c>
      <c r="V28" s="36" t="s">
        <v>294</v>
      </c>
      <c r="W28" s="36" t="s">
        <v>295</v>
      </c>
      <c r="X28" s="36" t="s">
        <v>296</v>
      </c>
      <c r="Y28" s="36" t="s">
        <v>297</v>
      </c>
      <c r="Z28" s="24" t="s">
        <v>116</v>
      </c>
      <c r="AA28" s="36" t="s">
        <v>55</v>
      </c>
      <c r="AB28" s="36" t="s">
        <v>298</v>
      </c>
      <c r="AC28" s="36"/>
      <c r="AD28" s="36"/>
      <c r="AE28" s="36" t="s">
        <v>299</v>
      </c>
      <c r="AF28" s="36"/>
      <c r="AG28" s="83"/>
      <c r="AH28" s="83"/>
      <c r="AI28" s="36"/>
      <c r="AK28" s="36"/>
    </row>
    <row r="29" spans="1:37" ht="57">
      <c r="A29" s="36">
        <v>28</v>
      </c>
      <c r="B29" s="36"/>
      <c r="C29" s="77" t="s">
        <v>267</v>
      </c>
      <c r="D29" s="36" t="s">
        <v>73</v>
      </c>
      <c r="E29" s="36" t="s">
        <v>197</v>
      </c>
      <c r="F29" s="36" t="s">
        <v>300</v>
      </c>
      <c r="G29" s="36" t="s">
        <v>74</v>
      </c>
      <c r="H29" s="36" t="s">
        <v>41</v>
      </c>
      <c r="I29" s="36"/>
      <c r="J29" s="36"/>
      <c r="K29" s="36"/>
      <c r="L29" s="36"/>
      <c r="M29" s="36"/>
      <c r="N29" s="36" t="s">
        <v>174</v>
      </c>
      <c r="O29" s="36" t="s">
        <v>62</v>
      </c>
      <c r="P29" s="36" t="s">
        <v>62</v>
      </c>
      <c r="Q29" s="36" t="s">
        <v>285</v>
      </c>
      <c r="R29" s="36"/>
      <c r="S29" s="85" t="s">
        <v>176</v>
      </c>
      <c r="T29" s="36" t="s">
        <v>48</v>
      </c>
      <c r="U29" s="36" t="s">
        <v>49</v>
      </c>
      <c r="V29" s="36" t="s">
        <v>301</v>
      </c>
      <c r="W29" s="36" t="s">
        <v>302</v>
      </c>
      <c r="X29" s="36" t="s">
        <v>303</v>
      </c>
      <c r="Y29" s="36" t="s">
        <v>304</v>
      </c>
      <c r="Z29" s="24" t="s">
        <v>116</v>
      </c>
      <c r="AA29" s="36" t="s">
        <v>55</v>
      </c>
      <c r="AB29" s="36" t="s">
        <v>305</v>
      </c>
      <c r="AC29" s="36" t="s">
        <v>306</v>
      </c>
      <c r="AD29" s="36"/>
      <c r="AE29" s="36"/>
      <c r="AF29" s="36"/>
      <c r="AG29" s="83"/>
      <c r="AH29" s="83"/>
      <c r="AI29" s="36"/>
      <c r="AK29" s="36"/>
    </row>
    <row r="30" spans="1:37" ht="57">
      <c r="A30" s="36">
        <v>29</v>
      </c>
      <c r="B30" s="36"/>
      <c r="C30" s="77" t="s">
        <v>267</v>
      </c>
      <c r="D30" s="36" t="s">
        <v>172</v>
      </c>
      <c r="E30" s="36" t="s">
        <v>307</v>
      </c>
      <c r="F30" s="36" t="s">
        <v>228</v>
      </c>
      <c r="G30" s="36" t="s">
        <v>98</v>
      </c>
      <c r="H30" s="36" t="s">
        <v>41</v>
      </c>
      <c r="I30" s="36"/>
      <c r="J30" s="36"/>
      <c r="K30" s="36"/>
      <c r="L30" s="36"/>
      <c r="M30" s="36"/>
      <c r="N30" s="36" t="s">
        <v>174</v>
      </c>
      <c r="O30" s="36" t="s">
        <v>271</v>
      </c>
      <c r="P30" s="36" t="s">
        <v>271</v>
      </c>
      <c r="Q30" s="36" t="s">
        <v>285</v>
      </c>
      <c r="R30" s="36"/>
      <c r="S30" s="85" t="s">
        <v>176</v>
      </c>
      <c r="T30" s="36" t="s">
        <v>48</v>
      </c>
      <c r="U30" s="36" t="s">
        <v>80</v>
      </c>
      <c r="V30" s="36" t="s">
        <v>308</v>
      </c>
      <c r="W30" s="36" t="s">
        <v>309</v>
      </c>
      <c r="X30" s="36" t="s">
        <v>310</v>
      </c>
      <c r="Y30" s="36" t="s">
        <v>311</v>
      </c>
      <c r="Z30" s="24" t="s">
        <v>116</v>
      </c>
      <c r="AA30" s="36" t="s">
        <v>55</v>
      </c>
      <c r="AB30" s="36" t="s">
        <v>312</v>
      </c>
      <c r="AC30" s="36" t="s">
        <v>313</v>
      </c>
      <c r="AD30" s="36" t="s">
        <v>314</v>
      </c>
      <c r="AE30" s="36" t="s">
        <v>315</v>
      </c>
      <c r="AF30" s="36"/>
      <c r="AG30" s="83"/>
      <c r="AH30" s="83"/>
      <c r="AI30" s="36"/>
      <c r="AK30" s="36"/>
    </row>
    <row r="31" spans="1:37" ht="57">
      <c r="A31" s="36">
        <v>30</v>
      </c>
      <c r="B31" s="36"/>
      <c r="C31" s="77" t="s">
        <v>267</v>
      </c>
      <c r="D31" s="36" t="s">
        <v>243</v>
      </c>
      <c r="E31" s="36" t="s">
        <v>316</v>
      </c>
      <c r="F31" s="36" t="s">
        <v>119</v>
      </c>
      <c r="G31" s="36" t="s">
        <v>108</v>
      </c>
      <c r="H31" s="36" t="s">
        <v>41</v>
      </c>
      <c r="I31" s="36"/>
      <c r="J31" s="36"/>
      <c r="K31" s="36"/>
      <c r="L31" s="36" t="s">
        <v>42</v>
      </c>
      <c r="M31" s="36"/>
      <c r="N31" s="36" t="s">
        <v>43</v>
      </c>
      <c r="O31" s="36" t="s">
        <v>44</v>
      </c>
      <c r="P31" s="36" t="s">
        <v>44</v>
      </c>
      <c r="Q31" s="36" t="s">
        <v>285</v>
      </c>
      <c r="R31" s="36"/>
      <c r="S31" s="36" t="s">
        <v>63</v>
      </c>
      <c r="T31" s="36" t="s">
        <v>48</v>
      </c>
      <c r="U31" s="36" t="s">
        <v>146</v>
      </c>
      <c r="V31" s="36" t="s">
        <v>317</v>
      </c>
      <c r="W31" s="36" t="s">
        <v>318</v>
      </c>
      <c r="X31" s="36" t="s">
        <v>319</v>
      </c>
      <c r="Y31" s="36" t="s">
        <v>320</v>
      </c>
      <c r="Z31" s="24" t="s">
        <v>116</v>
      </c>
      <c r="AA31" s="36" t="s">
        <v>55</v>
      </c>
      <c r="AB31" s="36" t="s">
        <v>258</v>
      </c>
      <c r="AC31" s="36"/>
      <c r="AD31" s="36"/>
      <c r="AE31" s="36"/>
      <c r="AF31" s="36"/>
      <c r="AG31" s="83"/>
      <c r="AH31" s="83"/>
      <c r="AI31" s="36"/>
      <c r="AK31" s="36"/>
    </row>
    <row r="32" spans="1:37" ht="71.25">
      <c r="A32" s="36">
        <v>31</v>
      </c>
      <c r="B32" s="36"/>
      <c r="C32" s="77" t="s">
        <v>267</v>
      </c>
      <c r="D32" s="36" t="s">
        <v>321</v>
      </c>
      <c r="E32" s="36" t="s">
        <v>322</v>
      </c>
      <c r="F32" s="36" t="s">
        <v>227</v>
      </c>
      <c r="G32" s="36" t="s">
        <v>323</v>
      </c>
      <c r="H32" s="36" t="s">
        <v>41</v>
      </c>
      <c r="I32" s="36"/>
      <c r="J32" s="36"/>
      <c r="K32" s="36"/>
      <c r="L32" s="36" t="s">
        <v>42</v>
      </c>
      <c r="M32" s="36"/>
      <c r="N32" s="36" t="s">
        <v>43</v>
      </c>
      <c r="O32" s="36" t="s">
        <v>62</v>
      </c>
      <c r="P32" s="36" t="s">
        <v>62</v>
      </c>
      <c r="Q32" s="36" t="s">
        <v>285</v>
      </c>
      <c r="R32" s="36"/>
      <c r="S32" s="36" t="s">
        <v>63</v>
      </c>
      <c r="T32" s="36" t="s">
        <v>48</v>
      </c>
      <c r="U32" s="36" t="s">
        <v>324</v>
      </c>
      <c r="V32" s="36" t="s">
        <v>325</v>
      </c>
      <c r="W32" s="36" t="s">
        <v>326</v>
      </c>
      <c r="X32" s="36" t="s">
        <v>327</v>
      </c>
      <c r="Y32" s="36" t="s">
        <v>320</v>
      </c>
      <c r="Z32" s="24" t="s">
        <v>116</v>
      </c>
      <c r="AA32" s="36" t="s">
        <v>55</v>
      </c>
      <c r="AB32" s="36" t="s">
        <v>328</v>
      </c>
      <c r="AC32" s="36"/>
      <c r="AD32" s="36"/>
      <c r="AE32" s="36"/>
      <c r="AF32" s="36"/>
      <c r="AG32" s="83"/>
      <c r="AH32" s="83"/>
      <c r="AI32" s="36"/>
      <c r="AK32" s="36"/>
    </row>
    <row r="33" spans="1:37" ht="42.75">
      <c r="A33" s="36">
        <v>32</v>
      </c>
      <c r="B33" s="36"/>
      <c r="C33" s="77" t="s">
        <v>267</v>
      </c>
      <c r="D33" s="36" t="s">
        <v>98</v>
      </c>
      <c r="E33" s="36" t="s">
        <v>329</v>
      </c>
      <c r="F33" s="36" t="s">
        <v>236</v>
      </c>
      <c r="G33" s="36" t="s">
        <v>75</v>
      </c>
      <c r="H33" s="36" t="s">
        <v>41</v>
      </c>
      <c r="I33" s="36"/>
      <c r="J33" s="36"/>
      <c r="K33" s="36"/>
      <c r="L33" s="36" t="s">
        <v>42</v>
      </c>
      <c r="M33" s="36"/>
      <c r="N33" s="36" t="s">
        <v>43</v>
      </c>
      <c r="O33" s="36" t="s">
        <v>62</v>
      </c>
      <c r="P33" s="36" t="s">
        <v>62</v>
      </c>
      <c r="Q33" s="36" t="s">
        <v>285</v>
      </c>
      <c r="R33" s="36"/>
      <c r="S33" s="36" t="s">
        <v>63</v>
      </c>
      <c r="T33" s="36" t="s">
        <v>48</v>
      </c>
      <c r="U33" s="36" t="s">
        <v>80</v>
      </c>
      <c r="V33" s="36" t="s">
        <v>330</v>
      </c>
      <c r="W33" s="36" t="s">
        <v>331</v>
      </c>
      <c r="X33" s="36" t="s">
        <v>332</v>
      </c>
      <c r="Y33" s="36" t="s">
        <v>333</v>
      </c>
      <c r="Z33" s="24" t="s">
        <v>116</v>
      </c>
      <c r="AA33" s="36" t="s">
        <v>55</v>
      </c>
      <c r="AB33" s="36" t="s">
        <v>334</v>
      </c>
      <c r="AC33" s="36" t="s">
        <v>335</v>
      </c>
      <c r="AD33" s="36"/>
      <c r="AE33" s="36"/>
      <c r="AF33" s="36"/>
      <c r="AG33" s="83"/>
      <c r="AH33" s="83"/>
      <c r="AI33" s="36"/>
      <c r="AK33" s="36"/>
    </row>
    <row r="34" spans="1:37" ht="42.75">
      <c r="A34" s="36">
        <v>33</v>
      </c>
      <c r="B34" s="36"/>
      <c r="C34" s="77" t="s">
        <v>267</v>
      </c>
      <c r="D34" s="36" t="s">
        <v>172</v>
      </c>
      <c r="E34" s="36"/>
      <c r="F34" s="36" t="s">
        <v>173</v>
      </c>
      <c r="G34" s="36" t="s">
        <v>74</v>
      </c>
      <c r="H34" s="36" t="s">
        <v>41</v>
      </c>
      <c r="I34" s="36"/>
      <c r="J34" s="36"/>
      <c r="K34" s="36"/>
      <c r="L34" s="36"/>
      <c r="M34" s="36"/>
      <c r="N34" s="36" t="s">
        <v>244</v>
      </c>
      <c r="O34" s="36" t="s">
        <v>271</v>
      </c>
      <c r="P34" s="36" t="s">
        <v>271</v>
      </c>
      <c r="Q34" s="36"/>
      <c r="R34" s="36"/>
      <c r="S34" s="36" t="s">
        <v>204</v>
      </c>
      <c r="T34" s="36" t="s">
        <v>48</v>
      </c>
      <c r="U34" s="36" t="s">
        <v>111</v>
      </c>
      <c r="V34" s="36" t="s">
        <v>336</v>
      </c>
      <c r="W34" s="36" t="s">
        <v>337</v>
      </c>
      <c r="X34" s="36" t="s">
        <v>338</v>
      </c>
      <c r="Y34" s="36" t="s">
        <v>339</v>
      </c>
      <c r="Z34" s="36" t="s">
        <v>85</v>
      </c>
      <c r="AA34" s="36" t="s">
        <v>340</v>
      </c>
      <c r="AB34" s="36" t="s">
        <v>181</v>
      </c>
      <c r="AC34" s="36" t="s">
        <v>341</v>
      </c>
      <c r="AD34" s="36"/>
      <c r="AE34" s="36"/>
      <c r="AF34" s="36"/>
      <c r="AG34" s="83"/>
      <c r="AH34" s="83"/>
      <c r="AI34" s="36"/>
      <c r="AK34" s="36"/>
    </row>
    <row r="35" spans="1:37" ht="42.75">
      <c r="A35" s="36">
        <v>34</v>
      </c>
      <c r="B35" s="36"/>
      <c r="C35" s="77" t="s">
        <v>267</v>
      </c>
      <c r="D35" s="36" t="s">
        <v>38</v>
      </c>
      <c r="E35" s="36" t="s">
        <v>342</v>
      </c>
      <c r="F35" s="36" t="s">
        <v>88</v>
      </c>
      <c r="G35" s="36" t="s">
        <v>219</v>
      </c>
      <c r="H35" s="36" t="s">
        <v>41</v>
      </c>
      <c r="I35" s="36"/>
      <c r="J35" s="36"/>
      <c r="K35" s="36"/>
      <c r="L35" s="36"/>
      <c r="M35" s="36"/>
      <c r="N35" s="36" t="s">
        <v>244</v>
      </c>
      <c r="O35" s="36" t="s">
        <v>129</v>
      </c>
      <c r="P35" s="36" t="s">
        <v>129</v>
      </c>
      <c r="Q35" s="36"/>
      <c r="R35" s="36"/>
      <c r="S35" s="36" t="s">
        <v>204</v>
      </c>
      <c r="T35" s="36" t="s">
        <v>286</v>
      </c>
      <c r="U35" s="36" t="s">
        <v>213</v>
      </c>
      <c r="V35" s="36" t="s">
        <v>343</v>
      </c>
      <c r="W35" s="36" t="s">
        <v>344</v>
      </c>
      <c r="X35" s="36" t="s">
        <v>345</v>
      </c>
      <c r="Y35" s="36" t="s">
        <v>346</v>
      </c>
      <c r="Z35" s="36" t="s">
        <v>116</v>
      </c>
      <c r="AA35" s="36" t="s">
        <v>55</v>
      </c>
      <c r="AB35" s="36" t="s">
        <v>347</v>
      </c>
      <c r="AC35" s="36"/>
      <c r="AD35" s="36"/>
      <c r="AE35" s="36"/>
      <c r="AF35" s="36"/>
      <c r="AG35" s="83"/>
      <c r="AH35" s="83"/>
      <c r="AI35" s="36"/>
      <c r="AK35" s="36"/>
    </row>
    <row r="36" spans="1:37" ht="42.75">
      <c r="A36" s="36">
        <v>35</v>
      </c>
      <c r="B36" s="36"/>
      <c r="C36" s="77" t="s">
        <v>267</v>
      </c>
      <c r="D36" s="36" t="s">
        <v>348</v>
      </c>
      <c r="E36" s="36" t="s">
        <v>125</v>
      </c>
      <c r="F36" s="36" t="s">
        <v>171</v>
      </c>
      <c r="G36" s="36" t="s">
        <v>109</v>
      </c>
      <c r="H36" s="36" t="s">
        <v>41</v>
      </c>
      <c r="I36" s="36"/>
      <c r="J36" s="36"/>
      <c r="K36" s="36"/>
      <c r="L36" s="36"/>
      <c r="M36" s="36"/>
      <c r="N36" s="36" t="s">
        <v>244</v>
      </c>
      <c r="O36" s="36" t="s">
        <v>156</v>
      </c>
      <c r="P36" s="36" t="s">
        <v>156</v>
      </c>
      <c r="Q36" s="36" t="s">
        <v>285</v>
      </c>
      <c r="R36" s="36"/>
      <c r="S36" s="36" t="s">
        <v>204</v>
      </c>
      <c r="T36" s="36" t="s">
        <v>48</v>
      </c>
      <c r="U36" s="36" t="s">
        <v>111</v>
      </c>
      <c r="V36" s="86" t="s">
        <v>349</v>
      </c>
      <c r="W36" s="77" t="s">
        <v>350</v>
      </c>
      <c r="X36" s="36" t="s">
        <v>351</v>
      </c>
      <c r="Y36" s="36" t="s">
        <v>180</v>
      </c>
      <c r="Z36" s="36" t="s">
        <v>85</v>
      </c>
      <c r="AA36" s="36" t="s">
        <v>55</v>
      </c>
      <c r="AB36" s="36" t="s">
        <v>264</v>
      </c>
      <c r="AC36" s="36" t="s">
        <v>251</v>
      </c>
      <c r="AD36" s="36"/>
      <c r="AE36" s="36"/>
      <c r="AF36" s="36"/>
      <c r="AG36" s="83"/>
      <c r="AH36" s="83"/>
      <c r="AI36" s="36"/>
      <c r="AK36" s="36"/>
    </row>
    <row r="37" spans="1:37" ht="57">
      <c r="A37" s="36">
        <v>36</v>
      </c>
      <c r="B37" s="36"/>
      <c r="C37" s="77" t="s">
        <v>352</v>
      </c>
      <c r="D37" s="36" t="s">
        <v>37</v>
      </c>
      <c r="E37" s="36" t="s">
        <v>74</v>
      </c>
      <c r="F37" s="36" t="s">
        <v>109</v>
      </c>
      <c r="G37" s="36" t="s">
        <v>153</v>
      </c>
      <c r="H37" s="36" t="s">
        <v>41</v>
      </c>
      <c r="I37" s="36"/>
      <c r="J37" s="36"/>
      <c r="K37" s="36"/>
      <c r="L37" s="36"/>
      <c r="M37" s="36"/>
      <c r="N37" s="36" t="s">
        <v>244</v>
      </c>
      <c r="O37" s="36" t="s">
        <v>156</v>
      </c>
      <c r="P37" s="36" t="s">
        <v>156</v>
      </c>
      <c r="Q37" s="36" t="s">
        <v>285</v>
      </c>
      <c r="R37" s="36"/>
      <c r="S37" s="36" t="s">
        <v>204</v>
      </c>
      <c r="T37" s="36" t="s">
        <v>48</v>
      </c>
      <c r="U37" s="36" t="s">
        <v>64</v>
      </c>
      <c r="V37" s="86" t="s">
        <v>353</v>
      </c>
      <c r="W37" s="36" t="s">
        <v>354</v>
      </c>
      <c r="X37" s="36" t="s">
        <v>355</v>
      </c>
      <c r="Y37" s="36" t="s">
        <v>356</v>
      </c>
      <c r="Z37" s="36" t="s">
        <v>116</v>
      </c>
      <c r="AA37" s="36" t="s">
        <v>55</v>
      </c>
      <c r="AB37" s="36" t="s">
        <v>357</v>
      </c>
      <c r="AC37" s="36" t="s">
        <v>358</v>
      </c>
      <c r="AD37" s="36"/>
      <c r="AE37" s="36" t="s">
        <v>359</v>
      </c>
      <c r="AF37" s="36"/>
      <c r="AG37" s="83"/>
      <c r="AH37" s="83"/>
      <c r="AI37" s="36"/>
      <c r="AK37" s="36"/>
    </row>
    <row r="38" spans="1:37" ht="71.25">
      <c r="A38" s="36">
        <v>37</v>
      </c>
      <c r="B38" s="36"/>
      <c r="C38" s="77" t="s">
        <v>267</v>
      </c>
      <c r="D38" s="36" t="s">
        <v>183</v>
      </c>
      <c r="E38" s="36" t="s">
        <v>75</v>
      </c>
      <c r="F38" s="36" t="s">
        <v>109</v>
      </c>
      <c r="G38" s="36" t="s">
        <v>164</v>
      </c>
      <c r="H38" s="36" t="s">
        <v>41</v>
      </c>
      <c r="I38" s="36"/>
      <c r="J38" s="36"/>
      <c r="K38" s="36"/>
      <c r="L38" s="36"/>
      <c r="M38" s="36"/>
      <c r="N38" s="36" t="s">
        <v>244</v>
      </c>
      <c r="O38" s="36" t="s">
        <v>44</v>
      </c>
      <c r="P38" s="36" t="s">
        <v>44</v>
      </c>
      <c r="Q38" s="36" t="s">
        <v>285</v>
      </c>
      <c r="R38" s="36"/>
      <c r="S38" s="36" t="s">
        <v>204</v>
      </c>
      <c r="T38" s="36" t="s">
        <v>48</v>
      </c>
      <c r="U38" s="36" t="s">
        <v>49</v>
      </c>
      <c r="V38" s="77" t="s">
        <v>360</v>
      </c>
      <c r="W38" s="77" t="s">
        <v>361</v>
      </c>
      <c r="X38" s="36" t="s">
        <v>362</v>
      </c>
      <c r="Y38" s="36" t="s">
        <v>363</v>
      </c>
      <c r="Z38" s="36" t="s">
        <v>116</v>
      </c>
      <c r="AA38" s="36" t="s">
        <v>55</v>
      </c>
      <c r="AB38" s="36" t="s">
        <v>305</v>
      </c>
      <c r="AC38" s="36" t="s">
        <v>364</v>
      </c>
      <c r="AD38" s="36"/>
      <c r="AE38" s="36" t="s">
        <v>365</v>
      </c>
      <c r="AF38" s="36"/>
      <c r="AG38" s="83"/>
      <c r="AH38" s="83"/>
      <c r="AI38" s="36"/>
      <c r="AK38" s="36"/>
    </row>
    <row r="39" spans="1:37" ht="71.25">
      <c r="A39" s="36">
        <v>38</v>
      </c>
      <c r="B39" s="36"/>
      <c r="C39" s="77" t="s">
        <v>267</v>
      </c>
      <c r="D39" s="36" t="s">
        <v>137</v>
      </c>
      <c r="E39" s="36"/>
      <c r="F39" s="36" t="s">
        <v>60</v>
      </c>
      <c r="G39" s="36" t="s">
        <v>172</v>
      </c>
      <c r="H39" s="36" t="s">
        <v>41</v>
      </c>
      <c r="I39" s="36"/>
      <c r="J39" s="36"/>
      <c r="K39" s="36"/>
      <c r="L39" s="36"/>
      <c r="M39" s="36"/>
      <c r="N39" s="36" t="s">
        <v>244</v>
      </c>
      <c r="O39" s="36" t="s">
        <v>156</v>
      </c>
      <c r="P39" s="36" t="s">
        <v>366</v>
      </c>
      <c r="Q39" s="36"/>
      <c r="R39" s="36"/>
      <c r="S39" s="36" t="s">
        <v>204</v>
      </c>
      <c r="T39" s="36" t="s">
        <v>48</v>
      </c>
      <c r="U39" s="36" t="s">
        <v>111</v>
      </c>
      <c r="V39" s="36" t="s">
        <v>367</v>
      </c>
      <c r="W39" s="36" t="s">
        <v>368</v>
      </c>
      <c r="X39" s="36" t="s">
        <v>369</v>
      </c>
      <c r="Y39" s="36" t="s">
        <v>370</v>
      </c>
      <c r="Z39" s="36" t="s">
        <v>370</v>
      </c>
      <c r="AA39" s="36" t="s">
        <v>370</v>
      </c>
      <c r="AB39" s="36" t="s">
        <v>209</v>
      </c>
      <c r="AC39" s="36" t="s">
        <v>265</v>
      </c>
      <c r="AD39" s="36"/>
      <c r="AE39" s="36"/>
      <c r="AF39" s="36"/>
      <c r="AG39" s="83"/>
      <c r="AH39" s="83"/>
      <c r="AI39" s="36"/>
      <c r="AK39" s="36"/>
    </row>
    <row r="40" spans="1:37" ht="57">
      <c r="A40" s="36">
        <v>39</v>
      </c>
      <c r="B40" s="36"/>
      <c r="C40" s="77" t="s">
        <v>267</v>
      </c>
      <c r="D40" s="36" t="s">
        <v>371</v>
      </c>
      <c r="E40" s="36" t="s">
        <v>190</v>
      </c>
      <c r="F40" s="36" t="s">
        <v>89</v>
      </c>
      <c r="G40" s="36" t="s">
        <v>212</v>
      </c>
      <c r="H40" s="36" t="s">
        <v>41</v>
      </c>
      <c r="I40" s="36"/>
      <c r="J40" s="36"/>
      <c r="K40" s="36"/>
      <c r="L40" s="36"/>
      <c r="M40" s="36"/>
      <c r="N40" s="36" t="s">
        <v>244</v>
      </c>
      <c r="O40" s="36" t="s">
        <v>156</v>
      </c>
      <c r="P40" s="36" t="s">
        <v>366</v>
      </c>
      <c r="Q40" s="36"/>
      <c r="R40" s="36"/>
      <c r="S40" s="36" t="s">
        <v>204</v>
      </c>
      <c r="T40" s="36" t="s">
        <v>48</v>
      </c>
      <c r="U40" s="36" t="s">
        <v>213</v>
      </c>
      <c r="V40" s="36" t="s">
        <v>372</v>
      </c>
      <c r="W40" s="36" t="s">
        <v>373</v>
      </c>
      <c r="X40" s="36" t="s">
        <v>374</v>
      </c>
      <c r="Y40" s="36" t="s">
        <v>375</v>
      </c>
      <c r="Z40" s="36" t="s">
        <v>95</v>
      </c>
      <c r="AA40" s="36" t="s">
        <v>370</v>
      </c>
      <c r="AB40" s="36" t="s">
        <v>376</v>
      </c>
      <c r="AC40" s="36" t="s">
        <v>377</v>
      </c>
      <c r="AD40" s="36"/>
      <c r="AE40" s="36"/>
      <c r="AF40" s="36"/>
      <c r="AG40" s="83"/>
      <c r="AH40" s="83"/>
      <c r="AI40" s="36"/>
      <c r="AK40" s="36"/>
    </row>
    <row r="41" spans="1:37" ht="42.75">
      <c r="A41" s="36">
        <v>40</v>
      </c>
      <c r="B41" s="36"/>
      <c r="C41" s="77" t="s">
        <v>378</v>
      </c>
      <c r="D41" s="36" t="s">
        <v>73</v>
      </c>
      <c r="E41" s="36" t="s">
        <v>329</v>
      </c>
      <c r="F41" s="36" t="s">
        <v>197</v>
      </c>
      <c r="G41" s="36" t="s">
        <v>75</v>
      </c>
      <c r="H41" s="36" t="s">
        <v>41</v>
      </c>
      <c r="I41" s="36"/>
      <c r="J41" s="36"/>
      <c r="K41" s="36"/>
      <c r="L41" s="36"/>
      <c r="M41" s="36"/>
      <c r="N41" s="36" t="s">
        <v>174</v>
      </c>
      <c r="O41" s="36" t="s">
        <v>271</v>
      </c>
      <c r="P41" s="36" t="s">
        <v>271</v>
      </c>
      <c r="Q41" s="36" t="s">
        <v>379</v>
      </c>
      <c r="R41" s="36"/>
      <c r="S41" s="85" t="s">
        <v>176</v>
      </c>
      <c r="T41" s="36" t="s">
        <v>48</v>
      </c>
      <c r="U41" s="36" t="s">
        <v>111</v>
      </c>
      <c r="V41" s="36" t="s">
        <v>380</v>
      </c>
      <c r="W41" s="36" t="s">
        <v>381</v>
      </c>
      <c r="X41" s="36" t="s">
        <v>382</v>
      </c>
      <c r="Y41" s="82" t="s">
        <v>383</v>
      </c>
      <c r="Z41" s="36" t="s">
        <v>116</v>
      </c>
      <c r="AA41" s="36" t="s">
        <v>55</v>
      </c>
      <c r="AB41" s="36" t="s">
        <v>384</v>
      </c>
      <c r="AC41" s="36" t="s">
        <v>265</v>
      </c>
      <c r="AD41" s="87" t="s">
        <v>385</v>
      </c>
      <c r="AE41" s="36" t="s">
        <v>386</v>
      </c>
      <c r="AF41" s="36"/>
      <c r="AG41" s="83"/>
      <c r="AH41" s="83"/>
      <c r="AI41" s="36"/>
      <c r="AK41" s="36"/>
    </row>
    <row r="42" spans="1:37" ht="42.75">
      <c r="A42" s="36">
        <v>41</v>
      </c>
      <c r="B42" s="36"/>
      <c r="C42" s="77" t="s">
        <v>378</v>
      </c>
      <c r="D42" s="36" t="s">
        <v>172</v>
      </c>
      <c r="E42" s="36" t="s">
        <v>184</v>
      </c>
      <c r="F42" s="36" t="s">
        <v>108</v>
      </c>
      <c r="G42" s="36" t="s">
        <v>99</v>
      </c>
      <c r="H42" s="36" t="s">
        <v>41</v>
      </c>
      <c r="I42" s="36"/>
      <c r="J42" s="36"/>
      <c r="K42" s="36"/>
      <c r="L42" s="36"/>
      <c r="M42" s="36"/>
      <c r="N42" s="36" t="s">
        <v>174</v>
      </c>
      <c r="O42" s="36" t="s">
        <v>44</v>
      </c>
      <c r="P42" s="36" t="s">
        <v>44</v>
      </c>
      <c r="Q42" s="36" t="s">
        <v>379</v>
      </c>
      <c r="R42" s="36"/>
      <c r="S42" s="85" t="s">
        <v>176</v>
      </c>
      <c r="T42" s="36" t="s">
        <v>48</v>
      </c>
      <c r="U42" s="36" t="s">
        <v>111</v>
      </c>
      <c r="V42" s="36" t="s">
        <v>387</v>
      </c>
      <c r="W42" s="36" t="s">
        <v>388</v>
      </c>
      <c r="X42" s="36" t="s">
        <v>389</v>
      </c>
      <c r="Y42" s="82" t="s">
        <v>390</v>
      </c>
      <c r="Z42" s="36" t="s">
        <v>116</v>
      </c>
      <c r="AA42" s="36" t="s">
        <v>55</v>
      </c>
      <c r="AB42" s="36" t="s">
        <v>209</v>
      </c>
      <c r="AC42" s="36" t="s">
        <v>391</v>
      </c>
      <c r="AD42" s="36"/>
      <c r="AE42" s="36"/>
      <c r="AF42" s="36"/>
      <c r="AG42" s="83"/>
      <c r="AH42" s="83"/>
      <c r="AI42" s="36"/>
      <c r="AK42" s="36"/>
    </row>
    <row r="43" spans="1:37" ht="42.75">
      <c r="A43" s="36">
        <v>42</v>
      </c>
      <c r="B43" s="36"/>
      <c r="C43" s="77" t="s">
        <v>352</v>
      </c>
      <c r="D43" s="36" t="s">
        <v>219</v>
      </c>
      <c r="E43" s="36" t="s">
        <v>342</v>
      </c>
      <c r="F43" s="36" t="s">
        <v>392</v>
      </c>
      <c r="G43" s="36" t="s">
        <v>212</v>
      </c>
      <c r="H43" s="36" t="s">
        <v>41</v>
      </c>
      <c r="I43" s="36"/>
      <c r="J43" s="36"/>
      <c r="K43" s="36"/>
      <c r="L43" s="36"/>
      <c r="M43" s="36"/>
      <c r="N43" s="36" t="s">
        <v>174</v>
      </c>
      <c r="O43" s="36" t="s">
        <v>62</v>
      </c>
      <c r="P43" s="36" t="s">
        <v>62</v>
      </c>
      <c r="Q43" s="36" t="s">
        <v>379</v>
      </c>
      <c r="R43" s="36"/>
      <c r="S43" s="85" t="s">
        <v>176</v>
      </c>
      <c r="T43" s="36" t="s">
        <v>48</v>
      </c>
      <c r="U43" s="36" t="s">
        <v>213</v>
      </c>
      <c r="V43" s="36" t="s">
        <v>393</v>
      </c>
      <c r="W43" s="36" t="s">
        <v>394</v>
      </c>
      <c r="X43" s="36" t="s">
        <v>395</v>
      </c>
      <c r="Y43" s="82" t="s">
        <v>396</v>
      </c>
      <c r="Z43" s="36" t="s">
        <v>116</v>
      </c>
      <c r="AA43" s="36" t="s">
        <v>55</v>
      </c>
      <c r="AB43" s="36" t="s">
        <v>357</v>
      </c>
      <c r="AC43" s="36"/>
      <c r="AD43" s="36"/>
      <c r="AE43" s="36" t="s">
        <v>397</v>
      </c>
      <c r="AF43" s="36"/>
      <c r="AG43" s="83"/>
      <c r="AH43" s="83"/>
      <c r="AI43" s="36"/>
      <c r="AK43" s="36"/>
    </row>
    <row r="44" spans="1:37" ht="42.75">
      <c r="A44" s="36">
        <v>43</v>
      </c>
      <c r="B44" s="36"/>
      <c r="C44" s="77" t="s">
        <v>378</v>
      </c>
      <c r="D44" s="36" t="s">
        <v>190</v>
      </c>
      <c r="E44" s="36" t="s">
        <v>398</v>
      </c>
      <c r="F44" s="36" t="s">
        <v>60</v>
      </c>
      <c r="G44" s="36" t="s">
        <v>152</v>
      </c>
      <c r="H44" s="36" t="s">
        <v>41</v>
      </c>
      <c r="I44" s="36"/>
      <c r="J44" s="36"/>
      <c r="K44" s="36"/>
      <c r="L44" s="36"/>
      <c r="M44" s="36"/>
      <c r="N44" s="36" t="s">
        <v>244</v>
      </c>
      <c r="O44" s="36" t="s">
        <v>62</v>
      </c>
      <c r="P44" s="36" t="s">
        <v>62</v>
      </c>
      <c r="Q44" s="36" t="s">
        <v>399</v>
      </c>
      <c r="R44" s="36"/>
      <c r="S44" s="36" t="s">
        <v>204</v>
      </c>
      <c r="T44" s="36" t="s">
        <v>48</v>
      </c>
      <c r="U44" s="36" t="s">
        <v>49</v>
      </c>
      <c r="V44" s="36" t="s">
        <v>400</v>
      </c>
      <c r="W44" s="36" t="s">
        <v>401</v>
      </c>
      <c r="X44" s="36" t="s">
        <v>402</v>
      </c>
      <c r="Y44" s="82" t="s">
        <v>403</v>
      </c>
      <c r="Z44" s="36" t="s">
        <v>116</v>
      </c>
      <c r="AA44" s="36" t="s">
        <v>55</v>
      </c>
      <c r="AB44" s="36" t="s">
        <v>404</v>
      </c>
      <c r="AC44" s="36" t="s">
        <v>405</v>
      </c>
      <c r="AD44" s="36" t="s">
        <v>406</v>
      </c>
      <c r="AE44" s="36" t="s">
        <v>407</v>
      </c>
      <c r="AF44" s="36"/>
      <c r="AG44" s="83"/>
      <c r="AH44" s="83"/>
      <c r="AI44" s="36"/>
      <c r="AK44" s="36"/>
    </row>
    <row r="45" spans="1:37" ht="57">
      <c r="A45" s="36">
        <v>44</v>
      </c>
      <c r="B45" s="36"/>
      <c r="C45" s="77" t="s">
        <v>352</v>
      </c>
      <c r="D45" s="36" t="s">
        <v>348</v>
      </c>
      <c r="E45" s="36" t="s">
        <v>408</v>
      </c>
      <c r="F45" s="36" t="s">
        <v>144</v>
      </c>
      <c r="G45" s="36" t="s">
        <v>40</v>
      </c>
      <c r="H45" s="36" t="s">
        <v>41</v>
      </c>
      <c r="I45" s="36"/>
      <c r="J45" s="36"/>
      <c r="K45" s="36"/>
      <c r="L45" s="36"/>
      <c r="M45" s="36"/>
      <c r="N45" s="36" t="s">
        <v>174</v>
      </c>
      <c r="O45" s="36" t="s">
        <v>62</v>
      </c>
      <c r="P45" s="36" t="s">
        <v>62</v>
      </c>
      <c r="Q45" s="36" t="s">
        <v>399</v>
      </c>
      <c r="R45" s="36"/>
      <c r="S45" s="85" t="s">
        <v>176</v>
      </c>
      <c r="T45" s="36" t="s">
        <v>48</v>
      </c>
      <c r="U45" s="36" t="s">
        <v>64</v>
      </c>
      <c r="V45" s="36" t="s">
        <v>409</v>
      </c>
      <c r="W45" s="36" t="s">
        <v>410</v>
      </c>
      <c r="X45" s="36" t="s">
        <v>411</v>
      </c>
      <c r="Y45" s="82" t="s">
        <v>412</v>
      </c>
      <c r="Z45" s="36" t="s">
        <v>116</v>
      </c>
      <c r="AA45" s="36" t="s">
        <v>55</v>
      </c>
      <c r="AB45" s="36" t="s">
        <v>413</v>
      </c>
      <c r="AC45" s="36" t="s">
        <v>414</v>
      </c>
      <c r="AD45" s="36" t="s">
        <v>415</v>
      </c>
      <c r="AE45" s="36"/>
      <c r="AF45" s="36"/>
      <c r="AG45" s="83"/>
      <c r="AH45" s="83"/>
      <c r="AI45" s="36"/>
      <c r="AK45" s="36"/>
    </row>
    <row r="46" spans="1:37" ht="42.75">
      <c r="A46" s="36">
        <v>45</v>
      </c>
      <c r="B46" s="36"/>
      <c r="C46" s="77" t="s">
        <v>352</v>
      </c>
      <c r="D46" s="36" t="s">
        <v>183</v>
      </c>
      <c r="E46" s="36" t="s">
        <v>184</v>
      </c>
      <c r="F46" s="36" t="s">
        <v>109</v>
      </c>
      <c r="G46" s="36" t="s">
        <v>172</v>
      </c>
      <c r="H46" s="36" t="s">
        <v>41</v>
      </c>
      <c r="I46" s="36"/>
      <c r="J46" s="36"/>
      <c r="K46" s="36"/>
      <c r="L46" s="36"/>
      <c r="M46" s="36"/>
      <c r="N46" s="36" t="s">
        <v>244</v>
      </c>
      <c r="O46" s="36" t="s">
        <v>156</v>
      </c>
      <c r="P46" s="36" t="s">
        <v>156</v>
      </c>
      <c r="Q46" s="36" t="s">
        <v>416</v>
      </c>
      <c r="R46" s="36"/>
      <c r="S46" s="36" t="s">
        <v>204</v>
      </c>
      <c r="T46" s="36" t="s">
        <v>48</v>
      </c>
      <c r="U46" s="36" t="s">
        <v>111</v>
      </c>
      <c r="V46" s="36" t="s">
        <v>185</v>
      </c>
      <c r="W46" s="36" t="s">
        <v>186</v>
      </c>
      <c r="X46" s="36" t="s">
        <v>187</v>
      </c>
      <c r="Y46" s="82" t="s">
        <v>417</v>
      </c>
      <c r="Z46" s="36" t="s">
        <v>116</v>
      </c>
      <c r="AA46" s="36" t="s">
        <v>55</v>
      </c>
      <c r="AB46" s="36" t="s">
        <v>189</v>
      </c>
      <c r="AC46" s="36"/>
      <c r="AD46" s="36"/>
      <c r="AE46" s="36" t="s">
        <v>359</v>
      </c>
      <c r="AF46" s="36"/>
      <c r="AG46" s="83"/>
      <c r="AH46" s="83"/>
      <c r="AI46" s="36"/>
      <c r="AK46" s="36"/>
    </row>
    <row r="47" spans="1:37" ht="42.75">
      <c r="A47" s="36">
        <v>46</v>
      </c>
      <c r="B47" s="36"/>
      <c r="C47" s="77" t="s">
        <v>352</v>
      </c>
      <c r="D47" s="36" t="s">
        <v>119</v>
      </c>
      <c r="E47" s="36" t="s">
        <v>418</v>
      </c>
      <c r="F47" s="36" t="s">
        <v>419</v>
      </c>
      <c r="G47" s="36" t="s">
        <v>143</v>
      </c>
      <c r="H47" s="36" t="s">
        <v>41</v>
      </c>
      <c r="I47" s="36"/>
      <c r="J47" s="36"/>
      <c r="K47" s="36"/>
      <c r="L47" s="36"/>
      <c r="M47" s="36"/>
      <c r="N47" s="36" t="s">
        <v>244</v>
      </c>
      <c r="O47" s="36" t="s">
        <v>156</v>
      </c>
      <c r="P47" s="36" t="s">
        <v>156</v>
      </c>
      <c r="Q47" s="36" t="s">
        <v>420</v>
      </c>
      <c r="R47" s="36"/>
      <c r="S47" s="36" t="s">
        <v>204</v>
      </c>
      <c r="T47" s="36" t="s">
        <v>48</v>
      </c>
      <c r="U47" s="36" t="s">
        <v>64</v>
      </c>
      <c r="V47" s="36" t="s">
        <v>421</v>
      </c>
      <c r="W47" s="36" t="s">
        <v>422</v>
      </c>
      <c r="X47" s="36" t="s">
        <v>423</v>
      </c>
      <c r="Y47" s="82" t="s">
        <v>424</v>
      </c>
      <c r="Z47" s="36" t="s">
        <v>116</v>
      </c>
      <c r="AA47" s="36" t="s">
        <v>55</v>
      </c>
      <c r="AB47" s="36" t="s">
        <v>425</v>
      </c>
      <c r="AC47" s="36" t="s">
        <v>265</v>
      </c>
      <c r="AD47" s="36"/>
      <c r="AE47" s="36"/>
      <c r="AF47" s="36"/>
      <c r="AG47" s="83"/>
      <c r="AH47" s="83"/>
      <c r="AI47" s="36"/>
      <c r="AK47" s="36"/>
    </row>
    <row r="48" spans="1:37" ht="42.75">
      <c r="A48" s="36">
        <v>47</v>
      </c>
      <c r="B48" s="36"/>
      <c r="C48" s="77" t="s">
        <v>352</v>
      </c>
      <c r="D48" s="36" t="s">
        <v>143</v>
      </c>
      <c r="E48" s="36" t="s">
        <v>88</v>
      </c>
      <c r="F48" s="36" t="s">
        <v>190</v>
      </c>
      <c r="G48" s="36" t="s">
        <v>90</v>
      </c>
      <c r="H48" s="36" t="s">
        <v>41</v>
      </c>
      <c r="I48" s="36"/>
      <c r="J48" s="36"/>
      <c r="K48" s="36"/>
      <c r="L48" s="36"/>
      <c r="M48" s="36"/>
      <c r="N48" s="36" t="s">
        <v>174</v>
      </c>
      <c r="O48" s="36" t="s">
        <v>271</v>
      </c>
      <c r="P48" s="36" t="s">
        <v>271</v>
      </c>
      <c r="Q48" s="36" t="s">
        <v>420</v>
      </c>
      <c r="R48" s="36"/>
      <c r="S48" s="85" t="s">
        <v>176</v>
      </c>
      <c r="T48" s="36" t="s">
        <v>48</v>
      </c>
      <c r="U48" s="36" t="s">
        <v>64</v>
      </c>
      <c r="V48" s="36" t="s">
        <v>426</v>
      </c>
      <c r="W48" s="36" t="s">
        <v>427</v>
      </c>
      <c r="X48" s="36" t="s">
        <v>428</v>
      </c>
      <c r="Y48" s="82" t="s">
        <v>429</v>
      </c>
      <c r="Z48" s="36" t="s">
        <v>116</v>
      </c>
      <c r="AA48" s="36" t="s">
        <v>55</v>
      </c>
      <c r="AB48" s="36" t="s">
        <v>404</v>
      </c>
      <c r="AC48" s="36" t="s">
        <v>430</v>
      </c>
      <c r="AD48" s="36"/>
      <c r="AE48" s="36" t="s">
        <v>431</v>
      </c>
      <c r="AF48" s="36"/>
      <c r="AG48" s="83"/>
      <c r="AH48" s="83"/>
      <c r="AI48" s="36"/>
      <c r="AK48" s="36"/>
    </row>
    <row r="49" spans="1:37" ht="42.75">
      <c r="A49" s="36">
        <v>48</v>
      </c>
      <c r="B49" s="36"/>
      <c r="C49" s="77" t="s">
        <v>352</v>
      </c>
      <c r="D49" s="36" t="s">
        <v>58</v>
      </c>
      <c r="E49" s="36" t="s">
        <v>59</v>
      </c>
      <c r="F49" s="36" t="s">
        <v>190</v>
      </c>
      <c r="G49" s="36" t="s">
        <v>164</v>
      </c>
      <c r="H49" s="36" t="s">
        <v>41</v>
      </c>
      <c r="I49" s="36"/>
      <c r="J49" s="36"/>
      <c r="K49" s="36"/>
      <c r="L49" s="36"/>
      <c r="M49" s="36"/>
      <c r="N49" s="36" t="s">
        <v>174</v>
      </c>
      <c r="O49" s="36" t="s">
        <v>271</v>
      </c>
      <c r="P49" s="36" t="s">
        <v>271</v>
      </c>
      <c r="Q49" s="36" t="s">
        <v>420</v>
      </c>
      <c r="R49" s="36"/>
      <c r="S49" s="85" t="s">
        <v>176</v>
      </c>
      <c r="T49" s="36" t="s">
        <v>48</v>
      </c>
      <c r="U49" s="36" t="s">
        <v>64</v>
      </c>
      <c r="V49" s="36" t="s">
        <v>432</v>
      </c>
      <c r="W49" s="36" t="s">
        <v>433</v>
      </c>
      <c r="X49" s="36" t="s">
        <v>434</v>
      </c>
      <c r="Y49" s="82" t="s">
        <v>435</v>
      </c>
      <c r="Z49" s="36" t="s">
        <v>116</v>
      </c>
      <c r="AA49" s="36" t="s">
        <v>55</v>
      </c>
      <c r="AB49" s="36" t="s">
        <v>70</v>
      </c>
      <c r="AC49" s="36" t="s">
        <v>436</v>
      </c>
      <c r="AD49" s="36"/>
      <c r="AE49" s="36"/>
      <c r="AF49" s="36"/>
      <c r="AG49" s="83"/>
      <c r="AH49" s="83"/>
      <c r="AI49" s="36"/>
      <c r="AK49" s="36"/>
    </row>
    <row r="50" spans="1:37" ht="114">
      <c r="A50" s="36">
        <v>49</v>
      </c>
      <c r="B50" s="36"/>
      <c r="C50" s="77" t="s">
        <v>352</v>
      </c>
      <c r="D50" s="36" t="s">
        <v>197</v>
      </c>
      <c r="E50" s="24" t="s">
        <v>437</v>
      </c>
      <c r="F50" s="36" t="s">
        <v>419</v>
      </c>
      <c r="G50" s="36" t="s">
        <v>90</v>
      </c>
      <c r="H50" s="36" t="s">
        <v>41</v>
      </c>
      <c r="I50" s="36"/>
      <c r="J50" s="36"/>
      <c r="K50" s="36"/>
      <c r="L50" s="36"/>
      <c r="M50" s="36"/>
      <c r="N50" s="36" t="s">
        <v>174</v>
      </c>
      <c r="O50" s="36" t="s">
        <v>438</v>
      </c>
      <c r="P50" s="36" t="s">
        <v>438</v>
      </c>
      <c r="Q50" s="36" t="s">
        <v>420</v>
      </c>
      <c r="R50" s="36"/>
      <c r="S50" s="85" t="s">
        <v>176</v>
      </c>
      <c r="T50" s="36" t="s">
        <v>48</v>
      </c>
      <c r="U50" s="36" t="s">
        <v>64</v>
      </c>
      <c r="V50" s="36" t="s">
        <v>439</v>
      </c>
      <c r="W50" s="36" t="s">
        <v>440</v>
      </c>
      <c r="X50" s="36" t="s">
        <v>441</v>
      </c>
      <c r="Y50" s="36" t="s">
        <v>442</v>
      </c>
      <c r="Z50" s="36" t="s">
        <v>85</v>
      </c>
      <c r="AA50" s="36" t="s">
        <v>55</v>
      </c>
      <c r="AB50" s="36" t="s">
        <v>443</v>
      </c>
      <c r="AC50" s="36" t="s">
        <v>444</v>
      </c>
      <c r="AD50" s="36"/>
      <c r="AE50" s="36" t="s">
        <v>445</v>
      </c>
      <c r="AF50" s="36"/>
      <c r="AG50" s="83"/>
      <c r="AH50" s="83"/>
      <c r="AI50" s="36"/>
      <c r="AK50" s="36"/>
    </row>
    <row r="51" spans="1:37" ht="42.75">
      <c r="A51" s="36">
        <v>50</v>
      </c>
      <c r="B51" s="36"/>
      <c r="C51" s="77" t="s">
        <v>352</v>
      </c>
      <c r="D51" s="36" t="s">
        <v>119</v>
      </c>
      <c r="E51" s="36" t="s">
        <v>418</v>
      </c>
      <c r="F51" s="36" t="s">
        <v>143</v>
      </c>
      <c r="G51" s="36" t="s">
        <v>227</v>
      </c>
      <c r="H51" s="36" t="s">
        <v>41</v>
      </c>
      <c r="I51" s="36"/>
      <c r="J51" s="36"/>
      <c r="K51" s="36"/>
      <c r="L51" s="36"/>
      <c r="M51" s="36"/>
      <c r="N51" s="36" t="s">
        <v>244</v>
      </c>
      <c r="O51" s="36" t="s">
        <v>156</v>
      </c>
      <c r="P51" s="36" t="s">
        <v>156</v>
      </c>
      <c r="Q51" s="36" t="s">
        <v>446</v>
      </c>
      <c r="R51" s="36"/>
      <c r="S51" s="85" t="s">
        <v>176</v>
      </c>
      <c r="T51" s="36" t="s">
        <v>48</v>
      </c>
      <c r="U51" s="36" t="s">
        <v>64</v>
      </c>
      <c r="V51" s="36" t="s">
        <v>447</v>
      </c>
      <c r="W51" s="36" t="s">
        <v>448</v>
      </c>
      <c r="X51" s="36" t="s">
        <v>449</v>
      </c>
      <c r="Y51" s="36" t="s">
        <v>424</v>
      </c>
      <c r="Z51" s="36" t="s">
        <v>54</v>
      </c>
      <c r="AA51" s="36" t="s">
        <v>55</v>
      </c>
      <c r="AB51" s="36" t="s">
        <v>413</v>
      </c>
      <c r="AC51" s="36"/>
      <c r="AD51" s="36"/>
      <c r="AE51" s="36"/>
      <c r="AF51" s="36"/>
      <c r="AG51" s="83"/>
      <c r="AH51" s="83"/>
      <c r="AI51" s="36"/>
      <c r="AK51" s="36"/>
    </row>
    <row r="52" spans="1:37" ht="42.75">
      <c r="A52" s="36">
        <v>51</v>
      </c>
      <c r="B52" s="36"/>
      <c r="C52" s="77" t="s">
        <v>450</v>
      </c>
      <c r="D52" s="36" t="s">
        <v>74</v>
      </c>
      <c r="E52" s="36" t="s">
        <v>226</v>
      </c>
      <c r="F52" s="36" t="s">
        <v>173</v>
      </c>
      <c r="G52" s="36" t="s">
        <v>75</v>
      </c>
      <c r="H52" s="36" t="s">
        <v>41</v>
      </c>
      <c r="I52" s="36"/>
      <c r="J52" s="36"/>
      <c r="K52" s="36"/>
      <c r="L52" s="36"/>
      <c r="M52" s="88" t="s">
        <v>451</v>
      </c>
      <c r="N52" s="36" t="s">
        <v>174</v>
      </c>
      <c r="O52" s="36" t="s">
        <v>271</v>
      </c>
      <c r="P52" s="36" t="s">
        <v>271</v>
      </c>
      <c r="Q52" s="36" t="s">
        <v>446</v>
      </c>
      <c r="R52" s="36"/>
      <c r="S52" s="85" t="s">
        <v>176</v>
      </c>
      <c r="T52" s="36" t="s">
        <v>48</v>
      </c>
      <c r="U52" s="36" t="s">
        <v>111</v>
      </c>
      <c r="V52" s="85" t="s">
        <v>452</v>
      </c>
      <c r="W52" s="85" t="s">
        <v>453</v>
      </c>
      <c r="X52" s="85" t="s">
        <v>454</v>
      </c>
      <c r="Y52" s="36" t="s">
        <v>455</v>
      </c>
      <c r="Z52" s="36" t="s">
        <v>85</v>
      </c>
      <c r="AA52" s="36" t="s">
        <v>55</v>
      </c>
      <c r="AB52" s="36" t="s">
        <v>456</v>
      </c>
      <c r="AC52" s="36" t="s">
        <v>358</v>
      </c>
      <c r="AD52" s="36" t="s">
        <v>457</v>
      </c>
      <c r="AE52" s="36"/>
      <c r="AF52" s="36"/>
      <c r="AG52" s="83"/>
      <c r="AH52" s="83"/>
      <c r="AI52" s="36"/>
      <c r="AK52" s="36"/>
    </row>
    <row r="53" spans="1:37" ht="42.75">
      <c r="A53" s="36">
        <v>52</v>
      </c>
      <c r="B53" s="36"/>
      <c r="C53" s="77" t="s">
        <v>450</v>
      </c>
      <c r="D53" s="36" t="s">
        <v>40</v>
      </c>
      <c r="E53" s="36" t="s">
        <v>418</v>
      </c>
      <c r="F53" s="36" t="s">
        <v>61</v>
      </c>
      <c r="G53" s="36" t="s">
        <v>458</v>
      </c>
      <c r="H53" s="36" t="s">
        <v>41</v>
      </c>
      <c r="I53" s="36"/>
      <c r="J53" s="36"/>
      <c r="K53" s="36"/>
      <c r="L53" s="36"/>
      <c r="M53" s="36" t="s">
        <v>459</v>
      </c>
      <c r="N53" s="36" t="s">
        <v>174</v>
      </c>
      <c r="O53" s="36" t="s">
        <v>62</v>
      </c>
      <c r="P53" s="36" t="s">
        <v>62</v>
      </c>
      <c r="Q53" s="36" t="s">
        <v>446</v>
      </c>
      <c r="R53" s="36"/>
      <c r="S53" s="85" t="s">
        <v>176</v>
      </c>
      <c r="T53" s="36" t="s">
        <v>286</v>
      </c>
      <c r="U53" s="36" t="s">
        <v>64</v>
      </c>
      <c r="V53" s="36" t="s">
        <v>460</v>
      </c>
      <c r="W53" s="36" t="s">
        <v>461</v>
      </c>
      <c r="X53" s="85" t="s">
        <v>462</v>
      </c>
      <c r="Y53" s="36" t="s">
        <v>463</v>
      </c>
      <c r="Z53" s="36" t="s">
        <v>85</v>
      </c>
      <c r="AA53" s="36" t="s">
        <v>55</v>
      </c>
      <c r="AB53" s="85" t="s">
        <v>464</v>
      </c>
      <c r="AC53" s="36" t="s">
        <v>465</v>
      </c>
      <c r="AD53" s="36" t="s">
        <v>466</v>
      </c>
      <c r="AE53" s="36" t="s">
        <v>467</v>
      </c>
      <c r="AF53" s="36"/>
      <c r="AG53" s="83"/>
      <c r="AH53" s="83"/>
      <c r="AI53" s="36"/>
      <c r="AK53" s="36"/>
    </row>
    <row r="54" spans="1:37" ht="57">
      <c r="A54" s="36">
        <v>53</v>
      </c>
      <c r="B54" s="36"/>
      <c r="C54" s="77" t="s">
        <v>450</v>
      </c>
      <c r="D54" s="36" t="s">
        <v>458</v>
      </c>
      <c r="E54" s="36" t="s">
        <v>137</v>
      </c>
      <c r="F54" s="36" t="s">
        <v>300</v>
      </c>
      <c r="G54" s="36" t="s">
        <v>40</v>
      </c>
      <c r="H54" s="36" t="s">
        <v>41</v>
      </c>
      <c r="I54" s="36"/>
      <c r="J54" s="36"/>
      <c r="K54" s="36"/>
      <c r="L54" s="36" t="s">
        <v>42</v>
      </c>
      <c r="M54" s="88" t="s">
        <v>451</v>
      </c>
      <c r="N54" s="36" t="s">
        <v>468</v>
      </c>
      <c r="O54" s="36" t="s">
        <v>62</v>
      </c>
      <c r="P54" s="36" t="s">
        <v>62</v>
      </c>
      <c r="Q54" s="36" t="s">
        <v>446</v>
      </c>
      <c r="R54" s="36" t="s">
        <v>157</v>
      </c>
      <c r="S54" s="85" t="s">
        <v>273</v>
      </c>
      <c r="T54" s="36" t="s">
        <v>48</v>
      </c>
      <c r="U54" s="36" t="s">
        <v>64</v>
      </c>
      <c r="V54" s="36" t="s">
        <v>469</v>
      </c>
      <c r="W54" s="36" t="s">
        <v>470</v>
      </c>
      <c r="X54" s="85" t="s">
        <v>471</v>
      </c>
      <c r="Y54" s="36" t="s">
        <v>472</v>
      </c>
      <c r="Z54" s="36" t="s">
        <v>85</v>
      </c>
      <c r="AA54" s="36" t="s">
        <v>55</v>
      </c>
      <c r="AB54" s="85" t="s">
        <v>70</v>
      </c>
      <c r="AC54" s="36"/>
      <c r="AD54" s="36"/>
      <c r="AE54" s="36"/>
      <c r="AF54" s="36"/>
      <c r="AG54" s="83"/>
      <c r="AH54" s="83"/>
      <c r="AI54" s="36"/>
      <c r="AK54" s="36"/>
    </row>
    <row r="55" spans="1:37" ht="42.75">
      <c r="A55" s="36">
        <v>54</v>
      </c>
      <c r="B55" s="36"/>
      <c r="C55" s="77" t="s">
        <v>450</v>
      </c>
      <c r="D55" s="36" t="s">
        <v>473</v>
      </c>
      <c r="E55" s="36"/>
      <c r="F55" s="36" t="s">
        <v>419</v>
      </c>
      <c r="G55" s="36" t="s">
        <v>89</v>
      </c>
      <c r="H55" s="36" t="s">
        <v>41</v>
      </c>
      <c r="I55" s="36"/>
      <c r="J55" s="36"/>
      <c r="K55" s="36"/>
      <c r="L55" s="36"/>
      <c r="M55" s="36" t="s">
        <v>459</v>
      </c>
      <c r="N55" s="36" t="s">
        <v>244</v>
      </c>
      <c r="O55" s="36" t="s">
        <v>62</v>
      </c>
      <c r="P55" s="36" t="s">
        <v>62</v>
      </c>
      <c r="Q55" s="36" t="s">
        <v>474</v>
      </c>
      <c r="R55" s="36"/>
      <c r="S55" s="36" t="s">
        <v>204</v>
      </c>
      <c r="T55" s="36" t="s">
        <v>286</v>
      </c>
      <c r="U55" s="36" t="s">
        <v>287</v>
      </c>
      <c r="V55" s="36" t="s">
        <v>475</v>
      </c>
      <c r="W55" s="36" t="s">
        <v>476</v>
      </c>
      <c r="X55" s="36" t="s">
        <v>477</v>
      </c>
      <c r="Y55" s="36" t="s">
        <v>478</v>
      </c>
      <c r="Z55" s="36" t="s">
        <v>116</v>
      </c>
      <c r="AA55" s="36" t="s">
        <v>55</v>
      </c>
      <c r="AB55" s="36" t="s">
        <v>241</v>
      </c>
      <c r="AC55" s="36"/>
      <c r="AD55" s="36"/>
      <c r="AE55" s="36"/>
      <c r="AF55" s="36"/>
      <c r="AG55" s="83"/>
      <c r="AH55" s="83"/>
      <c r="AI55" s="36"/>
      <c r="AK55" s="36"/>
    </row>
    <row r="56" spans="1:37" ht="42.75">
      <c r="A56" s="36">
        <v>55</v>
      </c>
      <c r="B56" s="36"/>
      <c r="C56" s="77" t="s">
        <v>450</v>
      </c>
      <c r="D56" s="36" t="s">
        <v>479</v>
      </c>
      <c r="E56" s="36"/>
      <c r="F56" s="36" t="s">
        <v>90</v>
      </c>
      <c r="G56" s="36" t="s">
        <v>60</v>
      </c>
      <c r="H56" s="36" t="s">
        <v>41</v>
      </c>
      <c r="I56" s="36"/>
      <c r="J56" s="36"/>
      <c r="K56" s="36"/>
      <c r="L56" s="36"/>
      <c r="M56" s="36" t="s">
        <v>459</v>
      </c>
      <c r="N56" s="36" t="s">
        <v>244</v>
      </c>
      <c r="O56" s="36" t="s">
        <v>62</v>
      </c>
      <c r="P56" s="36" t="s">
        <v>62</v>
      </c>
      <c r="Q56" s="36" t="s">
        <v>474</v>
      </c>
      <c r="R56" s="36"/>
      <c r="S56" s="36" t="s">
        <v>204</v>
      </c>
      <c r="T56" s="36" t="s">
        <v>286</v>
      </c>
      <c r="U56" s="36" t="s">
        <v>64</v>
      </c>
      <c r="V56" s="36" t="s">
        <v>480</v>
      </c>
      <c r="W56" s="36" t="s">
        <v>481</v>
      </c>
      <c r="X56" s="36" t="s">
        <v>482</v>
      </c>
      <c r="Y56" s="36" t="s">
        <v>483</v>
      </c>
      <c r="Z56" s="36" t="s">
        <v>85</v>
      </c>
      <c r="AA56" s="36" t="s">
        <v>484</v>
      </c>
      <c r="AB56" s="36" t="s">
        <v>485</v>
      </c>
      <c r="AC56" s="36" t="s">
        <v>486</v>
      </c>
      <c r="AD56" s="36"/>
      <c r="AE56" s="36"/>
      <c r="AF56" s="36"/>
      <c r="AG56" s="83"/>
      <c r="AH56" s="83"/>
      <c r="AI56" s="36"/>
      <c r="AK56" s="36"/>
    </row>
    <row r="57" spans="1:37" ht="42.75">
      <c r="A57" s="36">
        <v>56</v>
      </c>
      <c r="B57" s="23">
        <v>2025</v>
      </c>
      <c r="C57" s="77" t="s">
        <v>487</v>
      </c>
      <c r="D57" s="36" t="s">
        <v>392</v>
      </c>
      <c r="E57" s="36" t="s">
        <v>418</v>
      </c>
      <c r="F57" s="36" t="s">
        <v>60</v>
      </c>
      <c r="G57" s="36" t="s">
        <v>73</v>
      </c>
      <c r="H57" s="36" t="s">
        <v>41</v>
      </c>
      <c r="I57" s="36"/>
      <c r="J57" s="36"/>
      <c r="K57" s="36"/>
      <c r="L57" s="36"/>
      <c r="M57" s="88" t="s">
        <v>451</v>
      </c>
      <c r="N57" s="36" t="s">
        <v>174</v>
      </c>
      <c r="O57" s="36" t="s">
        <v>488</v>
      </c>
      <c r="P57" s="36" t="s">
        <v>488</v>
      </c>
      <c r="Q57" s="36" t="s">
        <v>474</v>
      </c>
      <c r="R57" s="36"/>
      <c r="S57" s="85" t="s">
        <v>176</v>
      </c>
      <c r="T57" s="36" t="s">
        <v>48</v>
      </c>
      <c r="U57" s="36" t="s">
        <v>49</v>
      </c>
      <c r="V57" s="36" t="s">
        <v>489</v>
      </c>
      <c r="W57" s="36" t="s">
        <v>490</v>
      </c>
      <c r="X57" s="36" t="s">
        <v>491</v>
      </c>
      <c r="Y57" s="36" t="s">
        <v>492</v>
      </c>
      <c r="Z57" s="36" t="s">
        <v>116</v>
      </c>
      <c r="AA57" s="36" t="s">
        <v>55</v>
      </c>
      <c r="AB57" s="36" t="s">
        <v>357</v>
      </c>
      <c r="AC57" s="36" t="s">
        <v>493</v>
      </c>
      <c r="AD57" s="36"/>
      <c r="AE57" s="36" t="s">
        <v>494</v>
      </c>
      <c r="AF57" s="36"/>
      <c r="AG57" s="83"/>
      <c r="AH57" s="83"/>
      <c r="AI57" s="36"/>
      <c r="AK57" s="36"/>
    </row>
    <row r="58" spans="1:37" ht="42.75">
      <c r="A58" s="36">
        <v>57</v>
      </c>
      <c r="B58" s="36"/>
      <c r="C58" s="77" t="s">
        <v>495</v>
      </c>
      <c r="D58" s="36" t="s">
        <v>73</v>
      </c>
      <c r="E58" s="36" t="s">
        <v>226</v>
      </c>
      <c r="F58" s="36" t="s">
        <v>371</v>
      </c>
      <c r="G58" s="36" t="s">
        <v>38</v>
      </c>
      <c r="H58" s="36" t="s">
        <v>41</v>
      </c>
      <c r="I58" s="36"/>
      <c r="J58" s="36"/>
      <c r="K58" s="36"/>
      <c r="L58" s="36"/>
      <c r="M58" s="88" t="s">
        <v>451</v>
      </c>
      <c r="N58" s="36" t="s">
        <v>244</v>
      </c>
      <c r="O58" s="36" t="s">
        <v>62</v>
      </c>
      <c r="P58" s="36" t="s">
        <v>62</v>
      </c>
      <c r="Q58" s="36" t="s">
        <v>496</v>
      </c>
      <c r="R58" s="36"/>
      <c r="S58" s="36" t="s">
        <v>204</v>
      </c>
      <c r="T58" s="36" t="s">
        <v>48</v>
      </c>
      <c r="U58" s="36" t="s">
        <v>213</v>
      </c>
      <c r="V58" s="36" t="s">
        <v>497</v>
      </c>
      <c r="W58" s="36" t="s">
        <v>498</v>
      </c>
      <c r="X58" s="36" t="s">
        <v>499</v>
      </c>
      <c r="Y58" s="36" t="s">
        <v>500</v>
      </c>
      <c r="Z58" s="36" t="s">
        <v>69</v>
      </c>
      <c r="AA58" s="36" t="s">
        <v>55</v>
      </c>
      <c r="AB58" s="36" t="s">
        <v>376</v>
      </c>
      <c r="AC58" s="36"/>
      <c r="AD58" s="36"/>
      <c r="AE58" s="36"/>
      <c r="AF58" s="36"/>
      <c r="AG58" s="83"/>
      <c r="AH58" s="83"/>
      <c r="AI58" s="36"/>
      <c r="AK58" s="36"/>
    </row>
    <row r="59" spans="1:37" ht="42.75">
      <c r="A59" s="36">
        <v>58</v>
      </c>
      <c r="B59" s="36"/>
      <c r="C59" s="77" t="s">
        <v>495</v>
      </c>
      <c r="D59" s="36" t="s">
        <v>268</v>
      </c>
      <c r="E59" s="24" t="s">
        <v>437</v>
      </c>
      <c r="F59" s="36" t="s">
        <v>73</v>
      </c>
      <c r="G59" s="36" t="s">
        <v>228</v>
      </c>
      <c r="H59" s="36" t="s">
        <v>41</v>
      </c>
      <c r="I59" s="36"/>
      <c r="J59" s="36"/>
      <c r="K59" s="36"/>
      <c r="L59" s="36"/>
      <c r="M59" s="36" t="s">
        <v>459</v>
      </c>
      <c r="N59" s="36" t="s">
        <v>174</v>
      </c>
      <c r="O59" s="36" t="s">
        <v>62</v>
      </c>
      <c r="P59" s="36" t="s">
        <v>62</v>
      </c>
      <c r="Q59" s="36" t="s">
        <v>496</v>
      </c>
      <c r="R59" s="36"/>
      <c r="S59" s="85" t="s">
        <v>176</v>
      </c>
      <c r="T59" s="36" t="s">
        <v>286</v>
      </c>
      <c r="U59" s="36" t="s">
        <v>501</v>
      </c>
      <c r="V59" s="36" t="s">
        <v>502</v>
      </c>
      <c r="W59" s="36" t="s">
        <v>503</v>
      </c>
      <c r="X59" s="36" t="s">
        <v>504</v>
      </c>
      <c r="Y59" s="36" t="s">
        <v>505</v>
      </c>
      <c r="Z59" s="36" t="s">
        <v>116</v>
      </c>
      <c r="AA59" s="36" t="s">
        <v>55</v>
      </c>
      <c r="AB59" s="36" t="s">
        <v>506</v>
      </c>
      <c r="AC59" s="36"/>
      <c r="AD59" s="36"/>
      <c r="AE59" s="36"/>
      <c r="AF59" s="36"/>
      <c r="AG59" s="83"/>
      <c r="AH59" s="83"/>
      <c r="AI59" s="36"/>
      <c r="AK59" s="36"/>
    </row>
    <row r="60" spans="1:37" ht="42.75">
      <c r="A60" s="36">
        <v>59</v>
      </c>
      <c r="B60" s="36"/>
      <c r="C60" s="77" t="s">
        <v>495</v>
      </c>
      <c r="D60" s="36" t="s">
        <v>227</v>
      </c>
      <c r="E60" s="36" t="s">
        <v>184</v>
      </c>
      <c r="F60" s="36" t="s">
        <v>61</v>
      </c>
      <c r="G60" s="36" t="s">
        <v>458</v>
      </c>
      <c r="H60" s="36" t="s">
        <v>41</v>
      </c>
      <c r="I60" s="36"/>
      <c r="J60" s="36"/>
      <c r="K60" s="36"/>
      <c r="L60" s="36"/>
      <c r="M60" s="88" t="s">
        <v>451</v>
      </c>
      <c r="N60" s="36" t="s">
        <v>174</v>
      </c>
      <c r="O60" s="36" t="s">
        <v>62</v>
      </c>
      <c r="P60" s="36" t="s">
        <v>62</v>
      </c>
      <c r="Q60" s="36" t="s">
        <v>496</v>
      </c>
      <c r="R60" s="36"/>
      <c r="S60" s="85" t="s">
        <v>176</v>
      </c>
      <c r="T60" s="36" t="s">
        <v>48</v>
      </c>
      <c r="U60" s="36" t="s">
        <v>287</v>
      </c>
      <c r="V60" s="36" t="s">
        <v>507</v>
      </c>
      <c r="W60" s="36" t="s">
        <v>508</v>
      </c>
      <c r="X60" s="36" t="s">
        <v>509</v>
      </c>
      <c r="Y60" s="36" t="s">
        <v>510</v>
      </c>
      <c r="Z60" s="36" t="s">
        <v>116</v>
      </c>
      <c r="AA60" s="36" t="s">
        <v>55</v>
      </c>
      <c r="AB60" s="36" t="s">
        <v>241</v>
      </c>
      <c r="AC60" s="36" t="s">
        <v>430</v>
      </c>
      <c r="AD60" s="36"/>
      <c r="AE60" s="36" t="s">
        <v>511</v>
      </c>
      <c r="AF60" s="36"/>
      <c r="AG60" s="83"/>
      <c r="AH60" s="83"/>
      <c r="AI60" s="36"/>
      <c r="AK60" s="36"/>
    </row>
    <row r="61" spans="1:37" ht="57">
      <c r="A61" s="36">
        <v>60</v>
      </c>
      <c r="B61" s="36"/>
      <c r="C61" s="77" t="s">
        <v>495</v>
      </c>
      <c r="D61" s="36" t="s">
        <v>512</v>
      </c>
      <c r="E61" s="36" t="s">
        <v>226</v>
      </c>
      <c r="F61" s="36" t="s">
        <v>227</v>
      </c>
      <c r="G61" s="36"/>
      <c r="H61" s="36" t="s">
        <v>41</v>
      </c>
      <c r="I61" s="36"/>
      <c r="J61" s="36" t="s">
        <v>513</v>
      </c>
      <c r="K61" s="36" t="s">
        <v>514</v>
      </c>
      <c r="L61" s="36"/>
      <c r="M61" s="88" t="s">
        <v>451</v>
      </c>
      <c r="N61" s="36" t="s">
        <v>174</v>
      </c>
      <c r="O61" s="36" t="s">
        <v>62</v>
      </c>
      <c r="P61" s="36" t="s">
        <v>62</v>
      </c>
      <c r="Q61" s="36" t="s">
        <v>496</v>
      </c>
      <c r="R61" s="36"/>
      <c r="S61" s="85" t="s">
        <v>176</v>
      </c>
      <c r="T61" s="36" t="s">
        <v>48</v>
      </c>
      <c r="U61" s="36" t="s">
        <v>80</v>
      </c>
      <c r="V61" s="36" t="s">
        <v>515</v>
      </c>
      <c r="W61" s="36" t="s">
        <v>516</v>
      </c>
      <c r="X61" s="36" t="s">
        <v>517</v>
      </c>
      <c r="Y61" s="36" t="s">
        <v>518</v>
      </c>
      <c r="Z61" s="36" t="s">
        <v>116</v>
      </c>
      <c r="AA61" s="36" t="s">
        <v>55</v>
      </c>
      <c r="AB61" s="36" t="s">
        <v>234</v>
      </c>
      <c r="AC61" s="36" t="s">
        <v>235</v>
      </c>
      <c r="AD61" s="36"/>
      <c r="AE61" s="36"/>
      <c r="AF61" s="36"/>
      <c r="AG61" s="83"/>
      <c r="AH61" s="83"/>
      <c r="AI61" s="36"/>
      <c r="AK61" s="36"/>
    </row>
    <row r="62" spans="1:37" ht="57">
      <c r="A62" s="36">
        <v>61</v>
      </c>
      <c r="B62" s="36"/>
      <c r="C62" s="77" t="s">
        <v>495</v>
      </c>
      <c r="D62" s="36" t="s">
        <v>519</v>
      </c>
      <c r="E62" s="36" t="s">
        <v>172</v>
      </c>
      <c r="F62" s="36" t="s">
        <v>236</v>
      </c>
      <c r="G62" s="36" t="s">
        <v>99</v>
      </c>
      <c r="H62" s="36" t="s">
        <v>41</v>
      </c>
      <c r="I62" s="36"/>
      <c r="J62" s="36"/>
      <c r="K62" s="36"/>
      <c r="L62" s="36"/>
      <c r="M62" s="88" t="s">
        <v>451</v>
      </c>
      <c r="N62" s="36" t="s">
        <v>174</v>
      </c>
      <c r="O62" s="36" t="s">
        <v>62</v>
      </c>
      <c r="P62" s="36" t="s">
        <v>62</v>
      </c>
      <c r="Q62" s="36" t="s">
        <v>496</v>
      </c>
      <c r="R62" s="36"/>
      <c r="S62" s="85" t="s">
        <v>176</v>
      </c>
      <c r="T62" s="36" t="s">
        <v>48</v>
      </c>
      <c r="U62" s="36" t="s">
        <v>80</v>
      </c>
      <c r="V62" s="36" t="s">
        <v>520</v>
      </c>
      <c r="W62" s="36" t="s">
        <v>521</v>
      </c>
      <c r="X62" s="36" t="s">
        <v>522</v>
      </c>
      <c r="Y62" s="36" t="s">
        <v>523</v>
      </c>
      <c r="Z62" s="36" t="s">
        <v>116</v>
      </c>
      <c r="AA62" s="36" t="s">
        <v>55</v>
      </c>
      <c r="AB62" s="36" t="s">
        <v>524</v>
      </c>
      <c r="AC62" s="36" t="s">
        <v>525</v>
      </c>
      <c r="AD62" s="36"/>
      <c r="AE62" s="36"/>
      <c r="AF62" s="36"/>
      <c r="AG62" s="83"/>
      <c r="AH62" s="83"/>
      <c r="AI62" s="36"/>
      <c r="AK62" s="36"/>
    </row>
    <row r="63" spans="1:37" ht="42.75">
      <c r="A63" s="36">
        <v>62</v>
      </c>
      <c r="B63" s="36"/>
      <c r="C63" s="77" t="s">
        <v>495</v>
      </c>
      <c r="D63" s="36" t="s">
        <v>228</v>
      </c>
      <c r="E63" s="36" t="s">
        <v>98</v>
      </c>
      <c r="F63" s="36" t="s">
        <v>108</v>
      </c>
      <c r="G63" s="36" t="s">
        <v>75</v>
      </c>
      <c r="H63" s="36" t="s">
        <v>41</v>
      </c>
      <c r="I63" s="36"/>
      <c r="J63" s="36"/>
      <c r="K63" s="36"/>
      <c r="L63" s="36"/>
      <c r="M63" s="88" t="s">
        <v>451</v>
      </c>
      <c r="N63" s="36" t="s">
        <v>174</v>
      </c>
      <c r="O63" s="36" t="s">
        <v>156</v>
      </c>
      <c r="P63" s="36" t="s">
        <v>156</v>
      </c>
      <c r="Q63" s="36" t="s">
        <v>496</v>
      </c>
      <c r="R63" s="36"/>
      <c r="S63" s="85" t="s">
        <v>176</v>
      </c>
      <c r="T63" s="36" t="s">
        <v>48</v>
      </c>
      <c r="U63" s="36" t="s">
        <v>111</v>
      </c>
      <c r="V63" s="36" t="s">
        <v>526</v>
      </c>
      <c r="W63" s="36" t="s">
        <v>527</v>
      </c>
      <c r="X63" s="36" t="s">
        <v>528</v>
      </c>
      <c r="Y63" s="36" t="s">
        <v>529</v>
      </c>
      <c r="Z63" s="36" t="s">
        <v>116</v>
      </c>
      <c r="AA63" s="36" t="s">
        <v>55</v>
      </c>
      <c r="AB63" s="36" t="s">
        <v>234</v>
      </c>
      <c r="AC63" s="36" t="s">
        <v>313</v>
      </c>
      <c r="AD63" s="36" t="s">
        <v>530</v>
      </c>
      <c r="AE63" s="36"/>
      <c r="AF63" s="36"/>
      <c r="AG63" s="83"/>
      <c r="AH63" s="83"/>
      <c r="AI63" s="36"/>
      <c r="AK63" s="36"/>
    </row>
    <row r="64" spans="1:37" ht="57">
      <c r="A64" s="36">
        <v>63</v>
      </c>
      <c r="B64" s="36"/>
      <c r="C64" s="77" t="s">
        <v>495</v>
      </c>
      <c r="D64" s="36" t="s">
        <v>197</v>
      </c>
      <c r="E64" s="36" t="s">
        <v>531</v>
      </c>
      <c r="F64" s="36" t="s">
        <v>60</v>
      </c>
      <c r="G64" s="36" t="s">
        <v>152</v>
      </c>
      <c r="H64" s="36" t="s">
        <v>41</v>
      </c>
      <c r="I64" s="36"/>
      <c r="J64" s="36"/>
      <c r="K64" s="36"/>
      <c r="L64" s="36"/>
      <c r="M64" s="88" t="s">
        <v>451</v>
      </c>
      <c r="N64" s="36" t="s">
        <v>174</v>
      </c>
      <c r="O64" s="36" t="s">
        <v>62</v>
      </c>
      <c r="P64" s="36" t="s">
        <v>62</v>
      </c>
      <c r="Q64" s="36" t="s">
        <v>496</v>
      </c>
      <c r="R64" s="36"/>
      <c r="S64" s="85" t="s">
        <v>176</v>
      </c>
      <c r="T64" s="36" t="s">
        <v>48</v>
      </c>
      <c r="U64" s="36" t="s">
        <v>80</v>
      </c>
      <c r="V64" s="89" t="s">
        <v>532</v>
      </c>
      <c r="W64" s="77" t="s">
        <v>533</v>
      </c>
      <c r="X64" s="36" t="s">
        <v>534</v>
      </c>
      <c r="Y64" s="36" t="s">
        <v>535</v>
      </c>
      <c r="Z64" s="36" t="s">
        <v>116</v>
      </c>
      <c r="AA64" s="36" t="s">
        <v>55</v>
      </c>
      <c r="AB64" s="36" t="s">
        <v>189</v>
      </c>
      <c r="AC64" s="36" t="s">
        <v>313</v>
      </c>
      <c r="AD64" s="36"/>
      <c r="AE64" s="36" t="s">
        <v>536</v>
      </c>
      <c r="AF64" s="36"/>
      <c r="AG64" s="83"/>
      <c r="AH64" s="83"/>
      <c r="AI64" s="36"/>
      <c r="AK64" s="36"/>
    </row>
    <row r="65" spans="1:37" ht="57">
      <c r="A65" s="36">
        <v>64</v>
      </c>
      <c r="B65" s="36"/>
      <c r="C65" s="77" t="s">
        <v>495</v>
      </c>
      <c r="D65" s="36" t="s">
        <v>537</v>
      </c>
      <c r="E65" s="24" t="s">
        <v>437</v>
      </c>
      <c r="F65" s="36" t="s">
        <v>73</v>
      </c>
      <c r="G65" s="36" t="s">
        <v>40</v>
      </c>
      <c r="H65" s="36" t="s">
        <v>41</v>
      </c>
      <c r="I65" s="36"/>
      <c r="J65" s="36"/>
      <c r="K65" s="36"/>
      <c r="L65" s="36"/>
      <c r="M65" s="88" t="s">
        <v>451</v>
      </c>
      <c r="N65" s="36" t="s">
        <v>174</v>
      </c>
      <c r="O65" s="36" t="s">
        <v>62</v>
      </c>
      <c r="P65" s="36" t="s">
        <v>62</v>
      </c>
      <c r="Q65" s="36" t="s">
        <v>496</v>
      </c>
      <c r="R65" s="36"/>
      <c r="S65" s="85" t="s">
        <v>176</v>
      </c>
      <c r="T65" s="36" t="s">
        <v>48</v>
      </c>
      <c r="U65" s="36" t="s">
        <v>64</v>
      </c>
      <c r="V65" s="36" t="s">
        <v>538</v>
      </c>
      <c r="W65" s="36" t="s">
        <v>539</v>
      </c>
      <c r="X65" s="36" t="s">
        <v>540</v>
      </c>
      <c r="Y65" s="36" t="s">
        <v>541</v>
      </c>
      <c r="Z65" s="36" t="s">
        <v>116</v>
      </c>
      <c r="AA65" s="36" t="s">
        <v>55</v>
      </c>
      <c r="AB65" s="36" t="s">
        <v>542</v>
      </c>
      <c r="AC65" s="36" t="s">
        <v>543</v>
      </c>
      <c r="AD65" s="36" t="s">
        <v>544</v>
      </c>
      <c r="AE65" s="36"/>
      <c r="AF65" s="36"/>
      <c r="AG65" s="83"/>
      <c r="AH65" s="83"/>
      <c r="AI65" s="36"/>
      <c r="AK65" s="36"/>
    </row>
    <row r="66" spans="1:37" ht="71.25">
      <c r="A66" s="36">
        <v>65</v>
      </c>
      <c r="B66" s="36"/>
      <c r="C66" s="77" t="s">
        <v>495</v>
      </c>
      <c r="D66" s="36" t="s">
        <v>183</v>
      </c>
      <c r="E66" s="36" t="s">
        <v>545</v>
      </c>
      <c r="F66" s="36" t="s">
        <v>300</v>
      </c>
      <c r="G66" s="36" t="s">
        <v>243</v>
      </c>
      <c r="H66" s="36" t="s">
        <v>41</v>
      </c>
      <c r="I66" s="36"/>
      <c r="J66" s="36"/>
      <c r="K66" s="36"/>
      <c r="L66" s="36"/>
      <c r="M66" s="88" t="s">
        <v>451</v>
      </c>
      <c r="N66" s="36" t="s">
        <v>174</v>
      </c>
      <c r="O66" s="36" t="s">
        <v>62</v>
      </c>
      <c r="P66" s="36" t="s">
        <v>62</v>
      </c>
      <c r="Q66" s="36" t="s">
        <v>496</v>
      </c>
      <c r="R66" s="36"/>
      <c r="S66" s="85" t="s">
        <v>176</v>
      </c>
      <c r="T66" s="36" t="s">
        <v>48</v>
      </c>
      <c r="U66" s="36" t="s">
        <v>64</v>
      </c>
      <c r="V66" s="36" t="s">
        <v>546</v>
      </c>
      <c r="W66" s="36" t="s">
        <v>547</v>
      </c>
      <c r="X66" s="36" t="s">
        <v>548</v>
      </c>
      <c r="Y66" s="36" t="s">
        <v>529</v>
      </c>
      <c r="Z66" s="36" t="s">
        <v>116</v>
      </c>
      <c r="AA66" s="36" t="s">
        <v>55</v>
      </c>
      <c r="AB66" s="36" t="s">
        <v>250</v>
      </c>
      <c r="AC66" s="36" t="s">
        <v>549</v>
      </c>
      <c r="AD66" s="36"/>
      <c r="AE66" s="36" t="s">
        <v>359</v>
      </c>
      <c r="AF66" s="36"/>
      <c r="AG66" s="83"/>
      <c r="AH66" s="83"/>
      <c r="AI66" s="36"/>
      <c r="AK66" s="36"/>
    </row>
    <row r="67" spans="1:37" ht="57">
      <c r="A67" s="36">
        <v>66</v>
      </c>
      <c r="B67" s="36"/>
      <c r="C67" s="77" t="s">
        <v>495</v>
      </c>
      <c r="D67" s="36" t="s">
        <v>219</v>
      </c>
      <c r="E67" s="36" t="s">
        <v>293</v>
      </c>
      <c r="F67" s="36" t="s">
        <v>392</v>
      </c>
      <c r="G67" s="36" t="s">
        <v>212</v>
      </c>
      <c r="H67" s="36" t="s">
        <v>41</v>
      </c>
      <c r="I67" s="36"/>
      <c r="J67" s="36"/>
      <c r="K67" s="36"/>
      <c r="L67" s="36"/>
      <c r="M67" s="88" t="s">
        <v>451</v>
      </c>
      <c r="N67" s="36" t="s">
        <v>174</v>
      </c>
      <c r="O67" s="36" t="s">
        <v>62</v>
      </c>
      <c r="P67" s="36" t="s">
        <v>62</v>
      </c>
      <c r="Q67" s="36" t="s">
        <v>496</v>
      </c>
      <c r="R67" s="36"/>
      <c r="S67" s="85" t="s">
        <v>176</v>
      </c>
      <c r="T67" s="36" t="s">
        <v>48</v>
      </c>
      <c r="U67" s="36" t="s">
        <v>213</v>
      </c>
      <c r="V67" s="36" t="s">
        <v>550</v>
      </c>
      <c r="W67" s="36" t="s">
        <v>551</v>
      </c>
      <c r="X67" s="36" t="s">
        <v>552</v>
      </c>
      <c r="Y67" s="36" t="s">
        <v>553</v>
      </c>
      <c r="Z67" s="36" t="s">
        <v>116</v>
      </c>
      <c r="AA67" s="36" t="s">
        <v>55</v>
      </c>
      <c r="AB67" s="36" t="s">
        <v>554</v>
      </c>
      <c r="AC67" s="36"/>
      <c r="AD67" s="36"/>
      <c r="AE67" s="36"/>
      <c r="AF67" s="36"/>
      <c r="AG67" s="83"/>
      <c r="AH67" s="83"/>
      <c r="AI67" s="36"/>
      <c r="AK67" s="36"/>
    </row>
    <row r="68" spans="1:37" ht="57">
      <c r="A68" s="36">
        <v>67</v>
      </c>
      <c r="B68" s="36"/>
      <c r="C68" s="77" t="s">
        <v>495</v>
      </c>
      <c r="D68" s="36" t="s">
        <v>127</v>
      </c>
      <c r="E68" s="36" t="s">
        <v>555</v>
      </c>
      <c r="F68" s="36" t="s">
        <v>171</v>
      </c>
      <c r="G68" s="36" t="s">
        <v>556</v>
      </c>
      <c r="H68" s="36" t="s">
        <v>41</v>
      </c>
      <c r="I68" s="36"/>
      <c r="J68" s="36"/>
      <c r="K68" s="36"/>
      <c r="L68" s="36"/>
      <c r="M68" s="88" t="s">
        <v>451</v>
      </c>
      <c r="N68" s="36" t="s">
        <v>174</v>
      </c>
      <c r="O68" s="36" t="s">
        <v>62</v>
      </c>
      <c r="P68" s="36" t="s">
        <v>62</v>
      </c>
      <c r="Q68" s="36" t="s">
        <v>496</v>
      </c>
      <c r="R68" s="36"/>
      <c r="S68" s="85" t="s">
        <v>176</v>
      </c>
      <c r="T68" s="36" t="s">
        <v>48</v>
      </c>
      <c r="U68" s="36" t="s">
        <v>80</v>
      </c>
      <c r="V68" s="36" t="s">
        <v>557</v>
      </c>
      <c r="W68" s="36" t="s">
        <v>558</v>
      </c>
      <c r="X68" s="85" t="s">
        <v>559</v>
      </c>
      <c r="Y68" s="36" t="s">
        <v>535</v>
      </c>
      <c r="Z68" s="36" t="s">
        <v>85</v>
      </c>
      <c r="AA68" s="36" t="s">
        <v>55</v>
      </c>
      <c r="AB68" s="36" t="s">
        <v>169</v>
      </c>
      <c r="AC68" s="36" t="s">
        <v>265</v>
      </c>
      <c r="AD68" s="36" t="s">
        <v>560</v>
      </c>
      <c r="AE68" s="36"/>
      <c r="AF68" s="36"/>
      <c r="AG68" s="83"/>
      <c r="AH68" s="83"/>
      <c r="AI68" s="36"/>
      <c r="AK68" s="36"/>
    </row>
    <row r="69" spans="1:37" ht="57">
      <c r="A69" s="36">
        <v>68</v>
      </c>
      <c r="B69" s="36"/>
      <c r="C69" s="77" t="s">
        <v>495</v>
      </c>
      <c r="D69" s="36" t="s">
        <v>37</v>
      </c>
      <c r="E69" s="36" t="s">
        <v>40</v>
      </c>
      <c r="F69" s="36" t="s">
        <v>61</v>
      </c>
      <c r="G69" s="36"/>
      <c r="H69" s="36" t="s">
        <v>41</v>
      </c>
      <c r="I69" s="36"/>
      <c r="J69" s="36" t="s">
        <v>561</v>
      </c>
      <c r="K69" s="36" t="s">
        <v>562</v>
      </c>
      <c r="L69" s="36"/>
      <c r="M69" s="88" t="s">
        <v>451</v>
      </c>
      <c r="N69" s="36" t="s">
        <v>174</v>
      </c>
      <c r="O69" s="36" t="s">
        <v>62</v>
      </c>
      <c r="P69" s="36" t="s">
        <v>62</v>
      </c>
      <c r="Q69" s="36" t="s">
        <v>496</v>
      </c>
      <c r="R69" s="36"/>
      <c r="S69" s="85" t="s">
        <v>176</v>
      </c>
      <c r="T69" s="36" t="s">
        <v>48</v>
      </c>
      <c r="U69" s="36" t="s">
        <v>64</v>
      </c>
      <c r="V69" s="36" t="s">
        <v>563</v>
      </c>
      <c r="W69" s="36" t="s">
        <v>564</v>
      </c>
      <c r="X69" s="85" t="s">
        <v>565</v>
      </c>
      <c r="Y69" s="36" t="s">
        <v>566</v>
      </c>
      <c r="Z69" s="36" t="s">
        <v>116</v>
      </c>
      <c r="AA69" s="36" t="s">
        <v>55</v>
      </c>
      <c r="AB69" s="36" t="s">
        <v>169</v>
      </c>
      <c r="AC69" s="36" t="s">
        <v>567</v>
      </c>
      <c r="AD69" s="36" t="s">
        <v>568</v>
      </c>
      <c r="AE69" s="36" t="s">
        <v>569</v>
      </c>
      <c r="AF69" s="36"/>
      <c r="AG69" s="83"/>
      <c r="AH69" s="83"/>
      <c r="AI69" s="36"/>
      <c r="AK69" s="36"/>
    </row>
    <row r="70" spans="1:37" ht="42.75">
      <c r="A70" s="36">
        <v>69</v>
      </c>
      <c r="B70" s="36"/>
      <c r="C70" s="77" t="s">
        <v>570</v>
      </c>
      <c r="D70" s="36" t="s">
        <v>268</v>
      </c>
      <c r="E70" s="36" t="s">
        <v>98</v>
      </c>
      <c r="F70" s="36" t="s">
        <v>73</v>
      </c>
      <c r="G70" s="36" t="s">
        <v>228</v>
      </c>
      <c r="H70" s="36" t="s">
        <v>41</v>
      </c>
      <c r="I70" s="36"/>
      <c r="J70" s="36"/>
      <c r="K70" s="36"/>
      <c r="L70" s="36"/>
      <c r="M70" s="88" t="s">
        <v>451</v>
      </c>
      <c r="N70" s="36" t="s">
        <v>244</v>
      </c>
      <c r="O70" s="36" t="s">
        <v>62</v>
      </c>
      <c r="P70" s="36" t="s">
        <v>62</v>
      </c>
      <c r="Q70" s="36" t="s">
        <v>571</v>
      </c>
      <c r="R70" s="36"/>
      <c r="S70" s="36" t="s">
        <v>204</v>
      </c>
      <c r="T70" s="36" t="s">
        <v>48</v>
      </c>
      <c r="U70" s="36" t="s">
        <v>229</v>
      </c>
      <c r="V70" s="36" t="s">
        <v>572</v>
      </c>
      <c r="W70" s="36" t="s">
        <v>573</v>
      </c>
      <c r="X70" s="36" t="s">
        <v>574</v>
      </c>
      <c r="Y70" s="36" t="s">
        <v>575</v>
      </c>
      <c r="Z70" s="36" t="s">
        <v>116</v>
      </c>
      <c r="AA70" s="36" t="s">
        <v>55</v>
      </c>
      <c r="AB70" s="36" t="s">
        <v>506</v>
      </c>
      <c r="AC70" s="36"/>
      <c r="AD70" s="36"/>
      <c r="AE70" s="36"/>
      <c r="AF70" s="36"/>
      <c r="AG70" s="83"/>
      <c r="AH70" s="83"/>
      <c r="AI70" s="36"/>
      <c r="AK70" s="36"/>
    </row>
    <row r="71" spans="1:37" ht="42.75">
      <c r="A71" s="36">
        <v>70</v>
      </c>
      <c r="B71" s="36"/>
      <c r="C71" s="77" t="s">
        <v>570</v>
      </c>
      <c r="D71" s="36" t="s">
        <v>473</v>
      </c>
      <c r="E71" s="36" t="s">
        <v>321</v>
      </c>
      <c r="F71" s="36" t="s">
        <v>300</v>
      </c>
      <c r="G71" s="36" t="s">
        <v>164</v>
      </c>
      <c r="H71" s="36" t="s">
        <v>41</v>
      </c>
      <c r="I71" s="36"/>
      <c r="J71" s="36"/>
      <c r="K71" s="36"/>
      <c r="L71" s="36"/>
      <c r="M71" s="88" t="s">
        <v>451</v>
      </c>
      <c r="N71" s="36" t="s">
        <v>244</v>
      </c>
      <c r="O71" s="36" t="s">
        <v>62</v>
      </c>
      <c r="P71" s="36" t="s">
        <v>62</v>
      </c>
      <c r="Q71" s="36" t="s">
        <v>571</v>
      </c>
      <c r="R71" s="36"/>
      <c r="S71" s="36" t="s">
        <v>204</v>
      </c>
      <c r="T71" s="36" t="s">
        <v>48</v>
      </c>
      <c r="U71" s="36" t="s">
        <v>49</v>
      </c>
      <c r="V71" s="36" t="s">
        <v>576</v>
      </c>
      <c r="W71" s="36" t="s">
        <v>577</v>
      </c>
      <c r="X71" s="36" t="s">
        <v>578</v>
      </c>
      <c r="Y71" s="36" t="s">
        <v>579</v>
      </c>
      <c r="Z71" s="36" t="s">
        <v>116</v>
      </c>
      <c r="AA71" s="36" t="s">
        <v>55</v>
      </c>
      <c r="AB71" s="36" t="s">
        <v>305</v>
      </c>
      <c r="AC71" s="36"/>
      <c r="AD71" s="36"/>
      <c r="AE71" s="36" t="s">
        <v>580</v>
      </c>
      <c r="AF71" s="36"/>
      <c r="AG71" s="83"/>
      <c r="AH71" s="83"/>
      <c r="AI71" s="36"/>
      <c r="AK71" s="36"/>
    </row>
    <row r="72" spans="1:37" ht="71.25">
      <c r="A72" s="36">
        <v>71</v>
      </c>
      <c r="B72" s="36"/>
      <c r="C72" s="77" t="s">
        <v>570</v>
      </c>
      <c r="D72" s="36" t="s">
        <v>37</v>
      </c>
      <c r="E72" s="36" t="s">
        <v>100</v>
      </c>
      <c r="F72" s="36" t="s">
        <v>227</v>
      </c>
      <c r="G72" s="36" t="s">
        <v>581</v>
      </c>
      <c r="H72" s="36" t="s">
        <v>41</v>
      </c>
      <c r="I72" s="36"/>
      <c r="J72" s="36"/>
      <c r="K72" s="36"/>
      <c r="L72" s="36"/>
      <c r="M72" s="88" t="s">
        <v>451</v>
      </c>
      <c r="N72" s="36" t="s">
        <v>244</v>
      </c>
      <c r="O72" s="36" t="s">
        <v>62</v>
      </c>
      <c r="P72" s="36" t="s">
        <v>62</v>
      </c>
      <c r="Q72" s="36" t="s">
        <v>571</v>
      </c>
      <c r="R72" s="36"/>
      <c r="S72" s="36" t="s">
        <v>204</v>
      </c>
      <c r="T72" s="36" t="s">
        <v>48</v>
      </c>
      <c r="U72" s="36" t="s">
        <v>64</v>
      </c>
      <c r="V72" s="36" t="s">
        <v>582</v>
      </c>
      <c r="W72" s="36" t="s">
        <v>583</v>
      </c>
      <c r="X72" s="36" t="s">
        <v>584</v>
      </c>
      <c r="Y72" s="36" t="s">
        <v>585</v>
      </c>
      <c r="Z72" s="36" t="s">
        <v>116</v>
      </c>
      <c r="AA72" s="36" t="s">
        <v>55</v>
      </c>
      <c r="AB72" s="36" t="s">
        <v>586</v>
      </c>
      <c r="AC72" s="36"/>
      <c r="AD72" s="36"/>
      <c r="AE72" s="36" t="s">
        <v>587</v>
      </c>
      <c r="AF72" s="36"/>
      <c r="AG72" s="83"/>
      <c r="AH72" s="83"/>
      <c r="AI72" s="36"/>
      <c r="AK72" s="36"/>
    </row>
    <row r="73" spans="1:37" ht="57">
      <c r="A73" s="36">
        <v>72</v>
      </c>
      <c r="B73" s="36"/>
      <c r="C73" s="77" t="s">
        <v>570</v>
      </c>
      <c r="D73" s="36" t="s">
        <v>172</v>
      </c>
      <c r="E73" s="36" t="s">
        <v>307</v>
      </c>
      <c r="F73" s="36" t="s">
        <v>228</v>
      </c>
      <c r="G73" s="36" t="s">
        <v>98</v>
      </c>
      <c r="H73" s="36" t="s">
        <v>41</v>
      </c>
      <c r="I73" s="36"/>
      <c r="J73" s="36"/>
      <c r="K73" s="36"/>
      <c r="L73" s="36"/>
      <c r="M73" s="88" t="s">
        <v>451</v>
      </c>
      <c r="N73" s="36" t="s">
        <v>244</v>
      </c>
      <c r="O73" s="36" t="s">
        <v>271</v>
      </c>
      <c r="P73" s="36" t="s">
        <v>271</v>
      </c>
      <c r="Q73" s="36" t="s">
        <v>571</v>
      </c>
      <c r="R73" s="36"/>
      <c r="S73" s="36" t="s">
        <v>204</v>
      </c>
      <c r="T73" s="36" t="s">
        <v>48</v>
      </c>
      <c r="U73" s="36" t="s">
        <v>80</v>
      </c>
      <c r="V73" s="36" t="s">
        <v>308</v>
      </c>
      <c r="W73" s="36" t="s">
        <v>309</v>
      </c>
      <c r="X73" s="36" t="s">
        <v>310</v>
      </c>
      <c r="Y73" s="36" t="s">
        <v>588</v>
      </c>
      <c r="Z73" s="36" t="s">
        <v>95</v>
      </c>
      <c r="AA73" s="36" t="s">
        <v>55</v>
      </c>
      <c r="AB73" s="36" t="s">
        <v>312</v>
      </c>
      <c r="AC73" s="36" t="s">
        <v>313</v>
      </c>
      <c r="AD73" s="36" t="s">
        <v>314</v>
      </c>
      <c r="AE73" s="36"/>
      <c r="AF73" s="36"/>
      <c r="AG73" s="83"/>
      <c r="AH73" s="83"/>
      <c r="AI73" s="36"/>
      <c r="AK73" s="36"/>
    </row>
    <row r="74" spans="1:37" ht="57">
      <c r="A74" s="36">
        <v>73</v>
      </c>
      <c r="B74" s="36"/>
      <c r="C74" s="77" t="s">
        <v>570</v>
      </c>
      <c r="D74" s="36" t="s">
        <v>512</v>
      </c>
      <c r="E74" s="36" t="s">
        <v>74</v>
      </c>
      <c r="F74" s="36" t="s">
        <v>144</v>
      </c>
      <c r="G74" s="36" t="s">
        <v>348</v>
      </c>
      <c r="H74" s="36" t="s">
        <v>41</v>
      </c>
      <c r="I74" s="36"/>
      <c r="J74" s="36"/>
      <c r="K74" s="36"/>
      <c r="L74" s="36"/>
      <c r="M74" s="88" t="s">
        <v>451</v>
      </c>
      <c r="N74" s="36" t="s">
        <v>244</v>
      </c>
      <c r="O74" s="36" t="s">
        <v>62</v>
      </c>
      <c r="P74" s="36" t="s">
        <v>62</v>
      </c>
      <c r="Q74" s="36" t="s">
        <v>571</v>
      </c>
      <c r="R74" s="36"/>
      <c r="S74" s="36" t="s">
        <v>204</v>
      </c>
      <c r="T74" s="36" t="s">
        <v>48</v>
      </c>
      <c r="U74" s="36" t="s">
        <v>64</v>
      </c>
      <c r="V74" s="36" t="s">
        <v>589</v>
      </c>
      <c r="W74" s="36" t="s">
        <v>590</v>
      </c>
      <c r="X74" s="36" t="s">
        <v>591</v>
      </c>
      <c r="Y74" s="36" t="s">
        <v>592</v>
      </c>
      <c r="Z74" s="36" t="s">
        <v>116</v>
      </c>
      <c r="AA74" s="36" t="s">
        <v>593</v>
      </c>
      <c r="AB74" s="85" t="s">
        <v>70</v>
      </c>
      <c r="AC74" s="36"/>
      <c r="AD74" s="36"/>
      <c r="AE74" s="36"/>
      <c r="AF74" s="36"/>
      <c r="AG74" s="83"/>
      <c r="AH74" s="83"/>
      <c r="AI74" s="36"/>
      <c r="AK74" s="36"/>
    </row>
    <row r="75" spans="1:37" ht="57">
      <c r="A75" s="36">
        <v>74</v>
      </c>
      <c r="B75" s="36"/>
      <c r="C75" s="77" t="s">
        <v>570</v>
      </c>
      <c r="D75" s="36" t="s">
        <v>58</v>
      </c>
      <c r="E75" s="36" t="s">
        <v>88</v>
      </c>
      <c r="F75" s="36" t="s">
        <v>90</v>
      </c>
      <c r="G75" s="36" t="s">
        <v>269</v>
      </c>
      <c r="H75" s="36" t="s">
        <v>41</v>
      </c>
      <c r="I75" s="36"/>
      <c r="J75" s="36"/>
      <c r="K75" s="36"/>
      <c r="L75" s="36"/>
      <c r="M75" s="88" t="s">
        <v>451</v>
      </c>
      <c r="N75" s="36" t="s">
        <v>244</v>
      </c>
      <c r="O75" s="36" t="s">
        <v>271</v>
      </c>
      <c r="P75" s="36" t="s">
        <v>271</v>
      </c>
      <c r="Q75" s="36" t="s">
        <v>594</v>
      </c>
      <c r="R75" s="36"/>
      <c r="S75" s="36" t="s">
        <v>204</v>
      </c>
      <c r="T75" s="36" t="s">
        <v>48</v>
      </c>
      <c r="U75" s="36" t="s">
        <v>64</v>
      </c>
      <c r="V75" s="36" t="s">
        <v>91</v>
      </c>
      <c r="W75" s="36" t="s">
        <v>92</v>
      </c>
      <c r="X75" s="36" t="s">
        <v>595</v>
      </c>
      <c r="Y75" s="36" t="s">
        <v>596</v>
      </c>
      <c r="Z75" s="36" t="s">
        <v>116</v>
      </c>
      <c r="AA75" s="36" t="s">
        <v>55</v>
      </c>
      <c r="AB75" s="36" t="s">
        <v>96</v>
      </c>
      <c r="AC75" s="36" t="s">
        <v>97</v>
      </c>
      <c r="AD75" s="36"/>
      <c r="AE75" s="36"/>
      <c r="AF75" s="36"/>
      <c r="AG75" s="83"/>
      <c r="AH75" s="83"/>
      <c r="AI75" s="36"/>
      <c r="AK75" s="36"/>
    </row>
    <row r="76" spans="1:37" ht="42.75">
      <c r="A76" s="36">
        <v>75</v>
      </c>
      <c r="B76" s="36"/>
      <c r="C76" s="77" t="s">
        <v>570</v>
      </c>
      <c r="D76" s="36" t="s">
        <v>173</v>
      </c>
      <c r="E76" s="36" t="s">
        <v>329</v>
      </c>
      <c r="F76" s="36" t="s">
        <v>108</v>
      </c>
      <c r="G76" s="36" t="s">
        <v>99</v>
      </c>
      <c r="H76" s="36" t="s">
        <v>41</v>
      </c>
      <c r="I76" s="36"/>
      <c r="J76" s="36"/>
      <c r="K76" s="36"/>
      <c r="L76" s="36"/>
      <c r="M76" s="36" t="s">
        <v>459</v>
      </c>
      <c r="N76" s="36" t="s">
        <v>244</v>
      </c>
      <c r="O76" s="36" t="s">
        <v>44</v>
      </c>
      <c r="P76" s="36" t="s">
        <v>44</v>
      </c>
      <c r="Q76" s="36" t="s">
        <v>571</v>
      </c>
      <c r="R76" s="36"/>
      <c r="S76" s="36" t="s">
        <v>204</v>
      </c>
      <c r="T76" s="36" t="s">
        <v>286</v>
      </c>
      <c r="U76" s="36" t="s">
        <v>111</v>
      </c>
      <c r="V76" s="36" t="s">
        <v>597</v>
      </c>
      <c r="W76" s="36" t="s">
        <v>598</v>
      </c>
      <c r="X76" s="36" t="s">
        <v>599</v>
      </c>
      <c r="Y76" s="36" t="s">
        <v>600</v>
      </c>
      <c r="Z76" s="36" t="s">
        <v>116</v>
      </c>
      <c r="AA76" s="36" t="s">
        <v>55</v>
      </c>
      <c r="AB76" s="36" t="s">
        <v>209</v>
      </c>
      <c r="AC76" s="36" t="s">
        <v>341</v>
      </c>
      <c r="AD76" s="36" t="s">
        <v>601</v>
      </c>
      <c r="AE76" s="36"/>
      <c r="AF76" s="36"/>
      <c r="AG76" s="83"/>
      <c r="AH76" s="83"/>
      <c r="AI76" s="36"/>
      <c r="AK76" s="36"/>
    </row>
    <row r="77" spans="1:37" ht="42.75">
      <c r="A77" s="36">
        <v>76</v>
      </c>
      <c r="B77" s="36"/>
      <c r="C77" s="77" t="s">
        <v>602</v>
      </c>
      <c r="D77" s="36" t="s">
        <v>107</v>
      </c>
      <c r="E77" s="36" t="s">
        <v>398</v>
      </c>
      <c r="F77" s="36" t="s">
        <v>348</v>
      </c>
      <c r="G77" s="36" t="s">
        <v>183</v>
      </c>
      <c r="H77" s="36" t="s">
        <v>41</v>
      </c>
      <c r="I77" s="36"/>
      <c r="J77" s="36"/>
      <c r="K77" s="36"/>
      <c r="L77" s="36"/>
      <c r="M77" s="88" t="s">
        <v>451</v>
      </c>
      <c r="N77" s="36" t="s">
        <v>244</v>
      </c>
      <c r="O77" s="36" t="s">
        <v>62</v>
      </c>
      <c r="P77" s="36" t="s">
        <v>62</v>
      </c>
      <c r="Q77" s="36" t="s">
        <v>594</v>
      </c>
      <c r="R77" s="36"/>
      <c r="S77" s="36" t="s">
        <v>204</v>
      </c>
      <c r="T77" s="36" t="s">
        <v>48</v>
      </c>
      <c r="U77" s="36" t="s">
        <v>49</v>
      </c>
      <c r="V77" s="36" t="s">
        <v>603</v>
      </c>
      <c r="W77" s="36" t="s">
        <v>604</v>
      </c>
      <c r="X77" s="36" t="s">
        <v>605</v>
      </c>
      <c r="Y77" s="36" t="s">
        <v>606</v>
      </c>
      <c r="Z77" s="36" t="s">
        <v>116</v>
      </c>
      <c r="AA77" s="36" t="s">
        <v>55</v>
      </c>
      <c r="AB77" s="36" t="s">
        <v>404</v>
      </c>
      <c r="AC77" s="36" t="s">
        <v>607</v>
      </c>
      <c r="AD77" s="36"/>
      <c r="AE77" s="36"/>
      <c r="AF77" s="36"/>
      <c r="AG77" s="83"/>
      <c r="AH77" s="83"/>
      <c r="AI77" s="36"/>
      <c r="AK77" s="36"/>
    </row>
    <row r="78" spans="1:37" ht="42.75">
      <c r="A78" s="36">
        <v>77</v>
      </c>
      <c r="B78" s="36"/>
      <c r="C78" s="77" t="s">
        <v>602</v>
      </c>
      <c r="D78" s="36" t="s">
        <v>73</v>
      </c>
      <c r="E78" s="36" t="s">
        <v>218</v>
      </c>
      <c r="F78" s="36" t="s">
        <v>108</v>
      </c>
      <c r="G78" s="36" t="s">
        <v>190</v>
      </c>
      <c r="H78" s="36" t="s">
        <v>41</v>
      </c>
      <c r="I78" s="36"/>
      <c r="J78" s="36"/>
      <c r="K78" s="36"/>
      <c r="L78" s="36"/>
      <c r="M78" s="88" t="s">
        <v>451</v>
      </c>
      <c r="N78" s="36" t="s">
        <v>174</v>
      </c>
      <c r="O78" s="36" t="s">
        <v>156</v>
      </c>
      <c r="P78" s="36" t="s">
        <v>156</v>
      </c>
      <c r="Q78" s="36" t="s">
        <v>571</v>
      </c>
      <c r="R78" s="36"/>
      <c r="S78" s="85" t="s">
        <v>176</v>
      </c>
      <c r="T78" s="36" t="s">
        <v>48</v>
      </c>
      <c r="U78" s="36" t="s">
        <v>49</v>
      </c>
      <c r="V78" s="86" t="s">
        <v>608</v>
      </c>
      <c r="W78" s="36" t="s">
        <v>609</v>
      </c>
      <c r="X78" s="36" t="s">
        <v>610</v>
      </c>
      <c r="Y78" s="36" t="s">
        <v>611</v>
      </c>
      <c r="Z78" s="36" t="s">
        <v>116</v>
      </c>
      <c r="AA78" s="36" t="s">
        <v>55</v>
      </c>
      <c r="AB78" s="36" t="s">
        <v>357</v>
      </c>
      <c r="AC78" s="36" t="s">
        <v>306</v>
      </c>
      <c r="AD78" s="36"/>
      <c r="AE78" s="36" t="s">
        <v>612</v>
      </c>
      <c r="AF78" s="36"/>
      <c r="AG78" s="83"/>
      <c r="AH78" s="83"/>
      <c r="AI78" s="36"/>
      <c r="AK78" s="36"/>
    </row>
    <row r="79" spans="1:37" ht="57">
      <c r="A79" s="36">
        <v>78</v>
      </c>
      <c r="B79" s="36"/>
      <c r="C79" s="77" t="s">
        <v>602</v>
      </c>
      <c r="D79" s="36" t="s">
        <v>90</v>
      </c>
      <c r="E79" s="36" t="s">
        <v>613</v>
      </c>
      <c r="F79" s="36" t="s">
        <v>37</v>
      </c>
      <c r="G79" s="36" t="s">
        <v>60</v>
      </c>
      <c r="H79" s="36" t="s">
        <v>41</v>
      </c>
      <c r="I79" s="36"/>
      <c r="J79" s="36"/>
      <c r="K79" s="36"/>
      <c r="L79" s="36"/>
      <c r="M79" s="88" t="s">
        <v>451</v>
      </c>
      <c r="N79" s="36" t="s">
        <v>174</v>
      </c>
      <c r="O79" s="36" t="s">
        <v>62</v>
      </c>
      <c r="P79" s="36" t="s">
        <v>62</v>
      </c>
      <c r="Q79" s="36" t="s">
        <v>571</v>
      </c>
      <c r="R79" s="36"/>
      <c r="S79" s="85" t="s">
        <v>176</v>
      </c>
      <c r="T79" s="36" t="s">
        <v>48</v>
      </c>
      <c r="U79" s="36" t="s">
        <v>64</v>
      </c>
      <c r="V79" s="36" t="s">
        <v>614</v>
      </c>
      <c r="W79" s="36" t="s">
        <v>615</v>
      </c>
      <c r="X79" s="36" t="s">
        <v>616</v>
      </c>
      <c r="Y79" s="36" t="s">
        <v>617</v>
      </c>
      <c r="Z79" s="36" t="s">
        <v>116</v>
      </c>
      <c r="AA79" s="36" t="s">
        <v>55</v>
      </c>
      <c r="AB79" s="36" t="s">
        <v>241</v>
      </c>
      <c r="AC79" s="36" t="s">
        <v>618</v>
      </c>
      <c r="AD79" s="36"/>
      <c r="AE79" s="36" t="s">
        <v>619</v>
      </c>
      <c r="AF79" s="36"/>
      <c r="AG79" s="83"/>
      <c r="AH79" s="83"/>
      <c r="AI79" s="36"/>
      <c r="AK79" s="36"/>
    </row>
    <row r="80" spans="1:37" ht="85.5">
      <c r="A80" s="36">
        <v>79</v>
      </c>
      <c r="B80" s="36"/>
      <c r="C80" s="77" t="s">
        <v>602</v>
      </c>
      <c r="D80" s="36" t="s">
        <v>620</v>
      </c>
      <c r="E80" s="36" t="s">
        <v>418</v>
      </c>
      <c r="F80" s="36" t="s">
        <v>39</v>
      </c>
      <c r="G80" s="36"/>
      <c r="H80" s="36" t="s">
        <v>41</v>
      </c>
      <c r="I80" s="36"/>
      <c r="J80" s="36" t="s">
        <v>621</v>
      </c>
      <c r="K80" s="36" t="s">
        <v>622</v>
      </c>
      <c r="L80" s="36"/>
      <c r="M80" s="88" t="s">
        <v>451</v>
      </c>
      <c r="N80" s="36" t="s">
        <v>174</v>
      </c>
      <c r="O80" s="36" t="s">
        <v>44</v>
      </c>
      <c r="P80" s="36" t="s">
        <v>44</v>
      </c>
      <c r="Q80" s="36" t="s">
        <v>571</v>
      </c>
      <c r="R80" s="36"/>
      <c r="S80" s="85" t="s">
        <v>176</v>
      </c>
      <c r="T80" s="36" t="s">
        <v>48</v>
      </c>
      <c r="U80" s="36" t="s">
        <v>146</v>
      </c>
      <c r="V80" s="36" t="s">
        <v>623</v>
      </c>
      <c r="W80" s="36" t="s">
        <v>624</v>
      </c>
      <c r="X80" s="36" t="s">
        <v>625</v>
      </c>
      <c r="Y80" s="36" t="s">
        <v>626</v>
      </c>
      <c r="Z80" s="36" t="s">
        <v>116</v>
      </c>
      <c r="AA80" s="36" t="s">
        <v>55</v>
      </c>
      <c r="AB80" s="36" t="s">
        <v>56</v>
      </c>
      <c r="AC80" s="36"/>
      <c r="AD80" s="36"/>
      <c r="AE80" s="36" t="s">
        <v>627</v>
      </c>
      <c r="AF80" s="36"/>
      <c r="AG80" s="83"/>
      <c r="AH80" s="83"/>
      <c r="AI80" s="36"/>
      <c r="AK80" s="36"/>
    </row>
    <row r="81" spans="1:37" ht="42.75">
      <c r="A81" s="36">
        <v>80</v>
      </c>
      <c r="B81" s="36"/>
      <c r="C81" s="77" t="s">
        <v>602</v>
      </c>
      <c r="D81" s="36" t="s">
        <v>473</v>
      </c>
      <c r="E81" s="36" t="s">
        <v>197</v>
      </c>
      <c r="F81" s="36" t="s">
        <v>269</v>
      </c>
      <c r="G81" s="36" t="s">
        <v>458</v>
      </c>
      <c r="H81" s="36" t="s">
        <v>41</v>
      </c>
      <c r="I81" s="36"/>
      <c r="J81" s="36"/>
      <c r="K81" s="36"/>
      <c r="L81" s="36"/>
      <c r="M81" s="36" t="s">
        <v>459</v>
      </c>
      <c r="N81" s="36" t="s">
        <v>174</v>
      </c>
      <c r="O81" s="36" t="s">
        <v>62</v>
      </c>
      <c r="P81" s="36" t="s">
        <v>62</v>
      </c>
      <c r="Q81" s="36" t="s">
        <v>571</v>
      </c>
      <c r="R81" s="36"/>
      <c r="S81" s="85" t="s">
        <v>176</v>
      </c>
      <c r="T81" s="36" t="s">
        <v>286</v>
      </c>
      <c r="U81" s="36" t="s">
        <v>64</v>
      </c>
      <c r="V81" s="36" t="s">
        <v>628</v>
      </c>
      <c r="W81" s="36" t="s">
        <v>629</v>
      </c>
      <c r="X81" s="36" t="s">
        <v>630</v>
      </c>
      <c r="Y81" s="36" t="s">
        <v>631</v>
      </c>
      <c r="Z81" s="36" t="s">
        <v>116</v>
      </c>
      <c r="AA81" s="36" t="s">
        <v>55</v>
      </c>
      <c r="AB81" s="36" t="s">
        <v>70</v>
      </c>
      <c r="AC81" s="36" t="s">
        <v>567</v>
      </c>
      <c r="AD81" s="36"/>
      <c r="AE81" s="36" t="s">
        <v>632</v>
      </c>
      <c r="AF81" s="36"/>
      <c r="AG81" s="83"/>
      <c r="AH81" s="83"/>
      <c r="AI81" s="36"/>
      <c r="AK81" s="36"/>
    </row>
    <row r="82" spans="1:37" ht="57">
      <c r="A82" s="36">
        <v>81</v>
      </c>
      <c r="B82" s="36"/>
      <c r="C82" s="77" t="s">
        <v>602</v>
      </c>
      <c r="D82" s="36" t="s">
        <v>555</v>
      </c>
      <c r="E82" s="36" t="s">
        <v>226</v>
      </c>
      <c r="F82" s="36" t="s">
        <v>137</v>
      </c>
      <c r="G82" s="36" t="s">
        <v>98</v>
      </c>
      <c r="H82" s="36" t="s">
        <v>41</v>
      </c>
      <c r="I82" s="36"/>
      <c r="J82" s="36"/>
      <c r="K82" s="90"/>
      <c r="L82" s="36"/>
      <c r="M82" s="88" t="s">
        <v>451</v>
      </c>
      <c r="N82" s="36" t="s">
        <v>174</v>
      </c>
      <c r="O82" s="36" t="s">
        <v>271</v>
      </c>
      <c r="P82" s="36" t="s">
        <v>271</v>
      </c>
      <c r="Q82" s="36" t="s">
        <v>571</v>
      </c>
      <c r="R82" s="36"/>
      <c r="S82" s="85" t="s">
        <v>176</v>
      </c>
      <c r="T82" s="36" t="s">
        <v>48</v>
      </c>
      <c r="U82" s="36" t="s">
        <v>80</v>
      </c>
      <c r="V82" s="36" t="s">
        <v>633</v>
      </c>
      <c r="W82" s="36" t="s">
        <v>615</v>
      </c>
      <c r="X82" s="36" t="s">
        <v>634</v>
      </c>
      <c r="Y82" s="36" t="s">
        <v>635</v>
      </c>
      <c r="Z82" s="36" t="s">
        <v>116</v>
      </c>
      <c r="AA82" s="36" t="s">
        <v>55</v>
      </c>
      <c r="AB82" s="36" t="s">
        <v>312</v>
      </c>
      <c r="AC82" s="36" t="s">
        <v>636</v>
      </c>
      <c r="AD82" s="36"/>
      <c r="AE82" s="36" t="s">
        <v>637</v>
      </c>
      <c r="AF82" s="36"/>
      <c r="AG82" s="83"/>
      <c r="AH82" s="83"/>
      <c r="AI82" s="36"/>
      <c r="AK82" s="36"/>
    </row>
    <row r="83" spans="1:37" ht="142.5">
      <c r="A83" s="36">
        <v>82</v>
      </c>
      <c r="B83" s="36"/>
      <c r="C83" s="77" t="s">
        <v>602</v>
      </c>
      <c r="D83" s="36" t="s">
        <v>398</v>
      </c>
      <c r="E83" s="36" t="s">
        <v>408</v>
      </c>
      <c r="F83" s="36" t="s">
        <v>348</v>
      </c>
      <c r="G83" s="36" t="s">
        <v>107</v>
      </c>
      <c r="H83" s="36" t="s">
        <v>41</v>
      </c>
      <c r="I83" s="36"/>
      <c r="J83" s="36"/>
      <c r="K83" s="36"/>
      <c r="L83" s="36"/>
      <c r="M83" s="88" t="s">
        <v>451</v>
      </c>
      <c r="N83" s="36" t="s">
        <v>174</v>
      </c>
      <c r="O83" s="36" t="s">
        <v>62</v>
      </c>
      <c r="P83" s="36" t="s">
        <v>62</v>
      </c>
      <c r="Q83" s="36" t="s">
        <v>571</v>
      </c>
      <c r="R83" s="36"/>
      <c r="S83" s="85" t="s">
        <v>176</v>
      </c>
      <c r="T83" s="36" t="s">
        <v>48</v>
      </c>
      <c r="U83" s="36" t="s">
        <v>638</v>
      </c>
      <c r="V83" s="36" t="s">
        <v>639</v>
      </c>
      <c r="W83" s="36" t="s">
        <v>640</v>
      </c>
      <c r="X83" s="36" t="s">
        <v>641</v>
      </c>
      <c r="Y83" s="36" t="s">
        <v>642</v>
      </c>
      <c r="Z83" s="36" t="s">
        <v>85</v>
      </c>
      <c r="AA83" s="36" t="s">
        <v>55</v>
      </c>
      <c r="AB83" s="36" t="s">
        <v>404</v>
      </c>
      <c r="AC83" s="36" t="s">
        <v>643</v>
      </c>
      <c r="AD83" s="36"/>
      <c r="AE83" s="36" t="s">
        <v>644</v>
      </c>
      <c r="AF83" s="36"/>
      <c r="AG83" s="83"/>
      <c r="AH83" s="83"/>
      <c r="AI83" s="36"/>
      <c r="AK83" s="36"/>
    </row>
    <row r="84" spans="1:37" ht="57">
      <c r="A84" s="36">
        <v>83</v>
      </c>
      <c r="B84" s="36"/>
      <c r="C84" s="77" t="s">
        <v>602</v>
      </c>
      <c r="D84" s="36" t="s">
        <v>348</v>
      </c>
      <c r="E84" s="36" t="s">
        <v>218</v>
      </c>
      <c r="F84" s="36" t="s">
        <v>143</v>
      </c>
      <c r="G84" s="36" t="s">
        <v>40</v>
      </c>
      <c r="H84" s="36" t="s">
        <v>41</v>
      </c>
      <c r="I84" s="36"/>
      <c r="J84" s="36"/>
      <c r="K84" s="36"/>
      <c r="L84" s="36"/>
      <c r="M84" s="88" t="s">
        <v>451</v>
      </c>
      <c r="N84" s="36" t="s">
        <v>468</v>
      </c>
      <c r="O84" s="36" t="s">
        <v>62</v>
      </c>
      <c r="P84" s="36" t="s">
        <v>62</v>
      </c>
      <c r="Q84" s="36" t="s">
        <v>571</v>
      </c>
      <c r="R84" s="36"/>
      <c r="S84" s="85" t="s">
        <v>273</v>
      </c>
      <c r="T84" s="36" t="s">
        <v>48</v>
      </c>
      <c r="U84" s="36" t="s">
        <v>64</v>
      </c>
      <c r="V84" s="36" t="s">
        <v>409</v>
      </c>
      <c r="W84" s="36" t="s">
        <v>645</v>
      </c>
      <c r="X84" s="36" t="s">
        <v>646</v>
      </c>
      <c r="Y84" s="36" t="s">
        <v>647</v>
      </c>
      <c r="Z84" s="36" t="s">
        <v>116</v>
      </c>
      <c r="AA84" s="36" t="s">
        <v>55</v>
      </c>
      <c r="AB84" s="36" t="s">
        <v>151</v>
      </c>
      <c r="AC84" s="36" t="s">
        <v>405</v>
      </c>
      <c r="AD84" s="36" t="s">
        <v>415</v>
      </c>
      <c r="AE84" s="36"/>
      <c r="AF84" s="36"/>
      <c r="AG84" s="83"/>
      <c r="AH84" s="83"/>
      <c r="AI84" s="36"/>
      <c r="AK84" s="36"/>
    </row>
    <row r="85" spans="1:37" ht="57">
      <c r="A85" s="36">
        <v>84</v>
      </c>
      <c r="B85" s="36"/>
      <c r="C85" s="77" t="s">
        <v>602</v>
      </c>
      <c r="D85" s="36" t="s">
        <v>537</v>
      </c>
      <c r="E85" s="36" t="s">
        <v>90</v>
      </c>
      <c r="F85" s="36" t="s">
        <v>89</v>
      </c>
      <c r="G85" s="36" t="s">
        <v>228</v>
      </c>
      <c r="H85" s="36" t="s">
        <v>41</v>
      </c>
      <c r="I85" s="36"/>
      <c r="J85" s="36"/>
      <c r="K85" s="36"/>
      <c r="L85" s="36"/>
      <c r="M85" s="88" t="s">
        <v>451</v>
      </c>
      <c r="N85" s="36" t="s">
        <v>468</v>
      </c>
      <c r="O85" s="36" t="s">
        <v>62</v>
      </c>
      <c r="P85" s="36" t="s">
        <v>62</v>
      </c>
      <c r="Q85" s="36" t="s">
        <v>571</v>
      </c>
      <c r="R85" s="36"/>
      <c r="S85" s="85" t="s">
        <v>273</v>
      </c>
      <c r="T85" s="36" t="s">
        <v>48</v>
      </c>
      <c r="U85" s="36" t="s">
        <v>64</v>
      </c>
      <c r="V85" s="36" t="s">
        <v>648</v>
      </c>
      <c r="W85" s="36" t="s">
        <v>649</v>
      </c>
      <c r="X85" s="91" t="s">
        <v>650</v>
      </c>
      <c r="Y85" s="36" t="s">
        <v>592</v>
      </c>
      <c r="Z85" s="36" t="s">
        <v>116</v>
      </c>
      <c r="AA85" s="36" t="s">
        <v>55</v>
      </c>
      <c r="AB85" s="36" t="s">
        <v>357</v>
      </c>
      <c r="AC85" s="36" t="s">
        <v>651</v>
      </c>
      <c r="AD85" s="36" t="s">
        <v>530</v>
      </c>
      <c r="AE85" s="36"/>
      <c r="AF85" s="36"/>
      <c r="AG85" s="83"/>
      <c r="AH85" s="83"/>
      <c r="AI85" s="36"/>
      <c r="AK85" s="36"/>
    </row>
    <row r="86" spans="1:37" ht="42.75">
      <c r="A86" s="36">
        <v>85</v>
      </c>
      <c r="B86" s="36"/>
      <c r="C86" s="77" t="s">
        <v>602</v>
      </c>
      <c r="D86" s="36" t="s">
        <v>73</v>
      </c>
      <c r="E86" s="36" t="s">
        <v>218</v>
      </c>
      <c r="F86" s="36" t="s">
        <v>143</v>
      </c>
      <c r="G86" s="36" t="s">
        <v>620</v>
      </c>
      <c r="H86" s="36" t="s">
        <v>41</v>
      </c>
      <c r="I86" s="36"/>
      <c r="J86" s="36"/>
      <c r="K86" s="36"/>
      <c r="L86" s="36"/>
      <c r="M86" s="36" t="s">
        <v>459</v>
      </c>
      <c r="N86" s="36" t="s">
        <v>174</v>
      </c>
      <c r="O86" s="36" t="s">
        <v>62</v>
      </c>
      <c r="P86" s="36" t="s">
        <v>62</v>
      </c>
      <c r="Q86" s="36" t="s">
        <v>571</v>
      </c>
      <c r="R86" s="36"/>
      <c r="S86" s="85" t="s">
        <v>176</v>
      </c>
      <c r="T86" s="36" t="s">
        <v>286</v>
      </c>
      <c r="U86" s="36" t="s">
        <v>64</v>
      </c>
      <c r="V86" s="87" t="s">
        <v>652</v>
      </c>
      <c r="W86" s="36" t="s">
        <v>653</v>
      </c>
      <c r="X86" s="85" t="s">
        <v>654</v>
      </c>
      <c r="Y86" s="36" t="s">
        <v>655</v>
      </c>
      <c r="Z86" s="36" t="s">
        <v>116</v>
      </c>
      <c r="AA86" s="36" t="s">
        <v>55</v>
      </c>
      <c r="AB86" s="36" t="s">
        <v>656</v>
      </c>
      <c r="AC86" s="36" t="s">
        <v>657</v>
      </c>
      <c r="AD86" s="36"/>
      <c r="AE86" s="36"/>
      <c r="AF86" s="36"/>
      <c r="AG86" s="83"/>
      <c r="AH86" s="83"/>
      <c r="AI86" s="36"/>
      <c r="AK86" s="36"/>
    </row>
    <row r="87" spans="1:37" ht="57">
      <c r="A87" s="36">
        <v>86</v>
      </c>
      <c r="B87" s="36"/>
      <c r="C87" s="77" t="s">
        <v>602</v>
      </c>
      <c r="D87" s="36" t="s">
        <v>38</v>
      </c>
      <c r="E87" s="36" t="s">
        <v>142</v>
      </c>
      <c r="F87" s="36" t="s">
        <v>658</v>
      </c>
      <c r="G87" s="36" t="s">
        <v>212</v>
      </c>
      <c r="H87" s="36" t="s">
        <v>41</v>
      </c>
      <c r="I87" s="36"/>
      <c r="J87" s="36"/>
      <c r="K87" s="36"/>
      <c r="L87" s="36"/>
      <c r="M87" s="88" t="s">
        <v>451</v>
      </c>
      <c r="N87" s="36" t="s">
        <v>244</v>
      </c>
      <c r="O87" s="36" t="s">
        <v>659</v>
      </c>
      <c r="P87" s="36" t="s">
        <v>659</v>
      </c>
      <c r="Q87" s="36" t="s">
        <v>594</v>
      </c>
      <c r="R87" s="36"/>
      <c r="S87" s="36" t="s">
        <v>204</v>
      </c>
      <c r="T87" s="36" t="s">
        <v>48</v>
      </c>
      <c r="U87" s="36" t="s">
        <v>213</v>
      </c>
      <c r="V87" s="36" t="s">
        <v>294</v>
      </c>
      <c r="W87" s="36" t="s">
        <v>295</v>
      </c>
      <c r="X87" s="36" t="s">
        <v>660</v>
      </c>
      <c r="Y87" s="36" t="s">
        <v>661</v>
      </c>
      <c r="Z87" s="24" t="s">
        <v>116</v>
      </c>
      <c r="AA87" s="36" t="s">
        <v>55</v>
      </c>
      <c r="AB87" s="36" t="s">
        <v>298</v>
      </c>
      <c r="AC87" s="36"/>
      <c r="AD87" s="36"/>
      <c r="AE87" s="36" t="s">
        <v>662</v>
      </c>
      <c r="AF87" s="36"/>
      <c r="AG87" s="83"/>
      <c r="AH87" s="83"/>
      <c r="AI87" s="36"/>
      <c r="AK87" s="36"/>
    </row>
    <row r="88" spans="1:37" ht="42.75">
      <c r="A88" s="36">
        <v>87</v>
      </c>
      <c r="B88" s="36"/>
      <c r="C88" s="77" t="s">
        <v>36</v>
      </c>
      <c r="D88" s="36" t="s">
        <v>137</v>
      </c>
      <c r="E88" s="36" t="s">
        <v>184</v>
      </c>
      <c r="F88" s="36" t="s">
        <v>73</v>
      </c>
      <c r="G88" s="36" t="s">
        <v>172</v>
      </c>
      <c r="H88" s="36" t="s">
        <v>41</v>
      </c>
      <c r="I88" s="36"/>
      <c r="J88" s="36"/>
      <c r="K88" s="36"/>
      <c r="L88" s="36"/>
      <c r="M88" s="36" t="s">
        <v>459</v>
      </c>
      <c r="N88" s="36" t="s">
        <v>244</v>
      </c>
      <c r="O88" s="36" t="s">
        <v>62</v>
      </c>
      <c r="P88" s="36" t="s">
        <v>62</v>
      </c>
      <c r="Q88" s="36" t="s">
        <v>594</v>
      </c>
      <c r="R88" s="36"/>
      <c r="S88" s="36" t="s">
        <v>204</v>
      </c>
      <c r="T88" s="36" t="s">
        <v>286</v>
      </c>
      <c r="U88" s="36" t="s">
        <v>111</v>
      </c>
      <c r="V88" s="85" t="s">
        <v>663</v>
      </c>
      <c r="W88" s="85" t="s">
        <v>664</v>
      </c>
      <c r="X88" s="36" t="s">
        <v>665</v>
      </c>
      <c r="Y88" s="36" t="s">
        <v>642</v>
      </c>
      <c r="Z88" s="36" t="s">
        <v>116</v>
      </c>
      <c r="AA88" s="36" t="s">
        <v>55</v>
      </c>
      <c r="AB88" s="36" t="s">
        <v>209</v>
      </c>
      <c r="AC88" s="36" t="s">
        <v>666</v>
      </c>
      <c r="AD88" s="36"/>
      <c r="AE88" s="36"/>
      <c r="AF88" s="36"/>
      <c r="AG88" s="83"/>
      <c r="AH88" s="83"/>
      <c r="AI88" s="36"/>
      <c r="AK88" s="36"/>
    </row>
    <row r="89" spans="1:37" ht="42.75">
      <c r="A89" s="36">
        <v>88</v>
      </c>
      <c r="B89" s="36"/>
      <c r="C89" s="77" t="s">
        <v>36</v>
      </c>
      <c r="D89" s="36" t="s">
        <v>73</v>
      </c>
      <c r="E89" s="36" t="s">
        <v>667</v>
      </c>
      <c r="F89" s="36" t="s">
        <v>392</v>
      </c>
      <c r="G89" s="36" t="s">
        <v>212</v>
      </c>
      <c r="H89" s="36" t="s">
        <v>41</v>
      </c>
      <c r="I89" s="36"/>
      <c r="J89" s="36"/>
      <c r="K89" s="36"/>
      <c r="L89" s="36"/>
      <c r="M89" s="88" t="s">
        <v>451</v>
      </c>
      <c r="N89" s="36" t="s">
        <v>244</v>
      </c>
      <c r="O89" s="36" t="s">
        <v>62</v>
      </c>
      <c r="P89" s="36" t="s">
        <v>62</v>
      </c>
      <c r="Q89" s="36" t="s">
        <v>668</v>
      </c>
      <c r="R89" s="36"/>
      <c r="S89" s="36" t="s">
        <v>204</v>
      </c>
      <c r="T89" s="36" t="s">
        <v>48</v>
      </c>
      <c r="U89" s="36" t="s">
        <v>213</v>
      </c>
      <c r="V89" s="36" t="s">
        <v>393</v>
      </c>
      <c r="W89" s="36" t="s">
        <v>394</v>
      </c>
      <c r="X89" s="36" t="s">
        <v>669</v>
      </c>
      <c r="Y89" s="36" t="s">
        <v>670</v>
      </c>
      <c r="Z89" s="36" t="s">
        <v>116</v>
      </c>
      <c r="AA89" s="36" t="s">
        <v>55</v>
      </c>
      <c r="AB89" s="36" t="s">
        <v>357</v>
      </c>
      <c r="AC89" s="36" t="s">
        <v>671</v>
      </c>
      <c r="AD89" s="36"/>
      <c r="AE89" s="36"/>
      <c r="AF89" s="36"/>
      <c r="AG89" s="83"/>
      <c r="AH89" s="83"/>
      <c r="AI89" s="36"/>
      <c r="AK89" s="36"/>
    </row>
    <row r="90" spans="1:37" ht="42.75">
      <c r="A90" s="36">
        <v>89</v>
      </c>
      <c r="B90" s="36"/>
      <c r="C90" s="77" t="s">
        <v>36</v>
      </c>
      <c r="D90" s="36" t="s">
        <v>125</v>
      </c>
      <c r="E90" s="36" t="s">
        <v>218</v>
      </c>
      <c r="F90" s="36"/>
      <c r="G90" s="36" t="s">
        <v>458</v>
      </c>
      <c r="H90" s="36" t="s">
        <v>41</v>
      </c>
      <c r="I90" s="36"/>
      <c r="J90" s="36" t="s">
        <v>672</v>
      </c>
      <c r="K90" s="36" t="s">
        <v>622</v>
      </c>
      <c r="L90" s="36"/>
      <c r="M90" s="36" t="s">
        <v>459</v>
      </c>
      <c r="N90" s="36" t="s">
        <v>244</v>
      </c>
      <c r="O90" s="36" t="s">
        <v>44</v>
      </c>
      <c r="P90" s="36" t="s">
        <v>44</v>
      </c>
      <c r="Q90" s="36" t="s">
        <v>668</v>
      </c>
      <c r="R90" s="36"/>
      <c r="S90" s="36" t="s">
        <v>204</v>
      </c>
      <c r="T90" s="36" t="s">
        <v>286</v>
      </c>
      <c r="U90" s="36" t="s">
        <v>287</v>
      </c>
      <c r="V90" s="36" t="s">
        <v>288</v>
      </c>
      <c r="W90" s="36" t="s">
        <v>289</v>
      </c>
      <c r="X90" s="36" t="s">
        <v>290</v>
      </c>
      <c r="Y90" s="36" t="s">
        <v>655</v>
      </c>
      <c r="Z90" s="24" t="s">
        <v>116</v>
      </c>
      <c r="AA90" s="36" t="s">
        <v>55</v>
      </c>
      <c r="AB90" s="36" t="s">
        <v>292</v>
      </c>
      <c r="AC90" s="36"/>
      <c r="AD90" s="36"/>
      <c r="AE90" s="36"/>
      <c r="AF90" s="36"/>
      <c r="AG90" s="83"/>
      <c r="AH90" s="83"/>
      <c r="AI90" s="36"/>
      <c r="AK90" s="36"/>
    </row>
    <row r="91" spans="1:37" ht="57">
      <c r="A91" s="36">
        <v>90</v>
      </c>
      <c r="B91" s="36"/>
      <c r="C91" s="77" t="s">
        <v>106</v>
      </c>
      <c r="D91" s="36" t="s">
        <v>58</v>
      </c>
      <c r="E91" s="36" t="s">
        <v>613</v>
      </c>
      <c r="F91" s="36" t="s">
        <v>108</v>
      </c>
      <c r="G91" s="36" t="s">
        <v>89</v>
      </c>
      <c r="H91" s="36" t="s">
        <v>41</v>
      </c>
      <c r="I91" s="36"/>
      <c r="J91" s="36"/>
      <c r="K91" s="36"/>
      <c r="L91" s="36"/>
      <c r="M91" s="88" t="s">
        <v>451</v>
      </c>
      <c r="N91" s="36" t="s">
        <v>174</v>
      </c>
      <c r="O91" s="36" t="s">
        <v>44</v>
      </c>
      <c r="P91" s="36" t="s">
        <v>44</v>
      </c>
      <c r="Q91" s="36" t="s">
        <v>668</v>
      </c>
      <c r="R91" s="36"/>
      <c r="S91" s="85" t="s">
        <v>176</v>
      </c>
      <c r="T91" s="36" t="s">
        <v>48</v>
      </c>
      <c r="U91" s="36" t="s">
        <v>49</v>
      </c>
      <c r="V91" s="86" t="s">
        <v>673</v>
      </c>
      <c r="W91" s="77" t="s">
        <v>674</v>
      </c>
      <c r="X91" s="36" t="s">
        <v>675</v>
      </c>
      <c r="Y91" s="36" t="s">
        <v>676</v>
      </c>
      <c r="Z91" s="24" t="s">
        <v>85</v>
      </c>
      <c r="AA91" s="36" t="s">
        <v>55</v>
      </c>
      <c r="AB91" s="36" t="s">
        <v>586</v>
      </c>
      <c r="AC91" s="36" t="s">
        <v>306</v>
      </c>
      <c r="AD91" s="36"/>
      <c r="AE91" s="36"/>
      <c r="AF91" s="36"/>
      <c r="AG91" s="83"/>
      <c r="AH91" s="83"/>
      <c r="AI91" s="36"/>
      <c r="AK91" s="36"/>
    </row>
    <row r="92" spans="1:37" ht="42.75">
      <c r="A92" s="36">
        <v>91</v>
      </c>
      <c r="B92" s="36"/>
      <c r="C92" s="77" t="s">
        <v>106</v>
      </c>
      <c r="D92" s="36" t="s">
        <v>172</v>
      </c>
      <c r="E92" s="24" t="s">
        <v>322</v>
      </c>
      <c r="F92" s="36" t="s">
        <v>197</v>
      </c>
      <c r="G92" s="36" t="s">
        <v>75</v>
      </c>
      <c r="H92" s="36" t="s">
        <v>41</v>
      </c>
      <c r="I92" s="36"/>
      <c r="J92" s="36"/>
      <c r="K92" s="36"/>
      <c r="L92" s="36"/>
      <c r="M92" s="88" t="s">
        <v>451</v>
      </c>
      <c r="N92" s="36" t="s">
        <v>174</v>
      </c>
      <c r="O92" s="36" t="s">
        <v>129</v>
      </c>
      <c r="P92" s="36" t="s">
        <v>129</v>
      </c>
      <c r="Q92" s="36" t="s">
        <v>668</v>
      </c>
      <c r="R92" s="36"/>
      <c r="S92" s="85" t="s">
        <v>176</v>
      </c>
      <c r="T92" s="36" t="s">
        <v>48</v>
      </c>
      <c r="U92" s="36" t="s">
        <v>111</v>
      </c>
      <c r="V92" s="36" t="s">
        <v>677</v>
      </c>
      <c r="W92" s="36" t="s">
        <v>678</v>
      </c>
      <c r="X92" s="28" t="s">
        <v>679</v>
      </c>
      <c r="Y92" s="36" t="s">
        <v>680</v>
      </c>
      <c r="Z92" s="36" t="s">
        <v>85</v>
      </c>
      <c r="AA92" s="36" t="s">
        <v>55</v>
      </c>
      <c r="AB92" s="36" t="s">
        <v>209</v>
      </c>
      <c r="AC92" s="36"/>
      <c r="AD92" s="36"/>
      <c r="AE92" s="36"/>
      <c r="AF92" s="36"/>
      <c r="AG92" s="83"/>
      <c r="AH92" s="83"/>
      <c r="AI92" s="36"/>
      <c r="AK92" s="36"/>
    </row>
    <row r="93" spans="1:37" ht="42.75">
      <c r="A93" s="36">
        <v>92</v>
      </c>
      <c r="B93" s="36"/>
      <c r="C93" s="77" t="s">
        <v>106</v>
      </c>
      <c r="D93" s="36" t="s">
        <v>125</v>
      </c>
      <c r="E93" s="36" t="s">
        <v>418</v>
      </c>
      <c r="F93" s="36" t="s">
        <v>681</v>
      </c>
      <c r="G93" s="36" t="s">
        <v>37</v>
      </c>
      <c r="H93" s="36" t="s">
        <v>41</v>
      </c>
      <c r="I93" s="36"/>
      <c r="J93" s="36"/>
      <c r="K93" s="36"/>
      <c r="L93" s="36"/>
      <c r="M93" s="88" t="s">
        <v>451</v>
      </c>
      <c r="N93" s="36" t="s">
        <v>174</v>
      </c>
      <c r="O93" s="36" t="s">
        <v>271</v>
      </c>
      <c r="P93" s="36" t="s">
        <v>271</v>
      </c>
      <c r="Q93" s="36" t="s">
        <v>668</v>
      </c>
      <c r="R93" s="36"/>
      <c r="S93" s="85" t="s">
        <v>176</v>
      </c>
      <c r="T93" s="36" t="s">
        <v>48</v>
      </c>
      <c r="U93" s="36" t="s">
        <v>64</v>
      </c>
      <c r="V93" s="36" t="s">
        <v>682</v>
      </c>
      <c r="W93" s="85" t="s">
        <v>683</v>
      </c>
      <c r="X93" s="85" t="s">
        <v>684</v>
      </c>
      <c r="Y93" s="36" t="s">
        <v>685</v>
      </c>
      <c r="Z93" s="36" t="s">
        <v>116</v>
      </c>
      <c r="AA93" s="36" t="s">
        <v>55</v>
      </c>
      <c r="AB93" s="85" t="s">
        <v>686</v>
      </c>
      <c r="AC93" s="85" t="s">
        <v>687</v>
      </c>
      <c r="AD93" s="36"/>
      <c r="AE93" s="36"/>
      <c r="AF93" s="36"/>
      <c r="AG93" s="83"/>
      <c r="AH93" s="83"/>
      <c r="AI93" s="36"/>
      <c r="AK93" s="36"/>
    </row>
    <row r="94" spans="1:37" ht="42.75">
      <c r="A94" s="36">
        <v>93</v>
      </c>
      <c r="B94" s="36"/>
      <c r="C94" s="77" t="s">
        <v>106</v>
      </c>
      <c r="D94" s="36" t="s">
        <v>688</v>
      </c>
      <c r="E94" s="24" t="s">
        <v>437</v>
      </c>
      <c r="F94" s="36" t="s">
        <v>73</v>
      </c>
      <c r="G94" s="36" t="s">
        <v>556</v>
      </c>
      <c r="H94" s="36" t="s">
        <v>41</v>
      </c>
      <c r="I94" s="36"/>
      <c r="J94" s="36"/>
      <c r="K94" s="36"/>
      <c r="L94" s="36"/>
      <c r="M94" s="88" t="s">
        <v>451</v>
      </c>
      <c r="N94" s="36" t="s">
        <v>174</v>
      </c>
      <c r="O94" s="36" t="s">
        <v>62</v>
      </c>
      <c r="P94" s="36" t="s">
        <v>62</v>
      </c>
      <c r="Q94" s="36" t="s">
        <v>668</v>
      </c>
      <c r="R94" s="36"/>
      <c r="S94" s="85" t="s">
        <v>176</v>
      </c>
      <c r="T94" s="36" t="s">
        <v>48</v>
      </c>
      <c r="U94" s="36" t="s">
        <v>229</v>
      </c>
      <c r="V94" s="36" t="s">
        <v>689</v>
      </c>
      <c r="W94" s="85" t="s">
        <v>690</v>
      </c>
      <c r="X94" s="85" t="s">
        <v>691</v>
      </c>
      <c r="Y94" s="36" t="s">
        <v>692</v>
      </c>
      <c r="Z94" s="36" t="s">
        <v>85</v>
      </c>
      <c r="AA94" s="36" t="s">
        <v>55</v>
      </c>
      <c r="AB94" s="36" t="s">
        <v>542</v>
      </c>
      <c r="AC94" s="36" t="s">
        <v>543</v>
      </c>
      <c r="AD94" s="36" t="s">
        <v>693</v>
      </c>
      <c r="AE94" s="36"/>
      <c r="AF94" s="36"/>
      <c r="AG94" s="83"/>
      <c r="AH94" s="83"/>
      <c r="AI94" s="36"/>
      <c r="AK94" s="36"/>
    </row>
    <row r="95" spans="1:37" ht="57">
      <c r="A95" s="36">
        <v>94</v>
      </c>
      <c r="B95" s="36"/>
      <c r="C95" s="77" t="s">
        <v>106</v>
      </c>
      <c r="D95" s="36" t="s">
        <v>537</v>
      </c>
      <c r="E95" s="36" t="s">
        <v>38</v>
      </c>
      <c r="F95" s="36" t="s">
        <v>61</v>
      </c>
      <c r="G95" s="36" t="s">
        <v>37</v>
      </c>
      <c r="H95" s="36" t="s">
        <v>41</v>
      </c>
      <c r="I95" s="36"/>
      <c r="J95" s="36"/>
      <c r="K95" s="36"/>
      <c r="L95" s="36"/>
      <c r="M95" s="88" t="s">
        <v>451</v>
      </c>
      <c r="N95" s="36" t="s">
        <v>174</v>
      </c>
      <c r="O95" s="36" t="s">
        <v>62</v>
      </c>
      <c r="P95" s="36" t="s">
        <v>62</v>
      </c>
      <c r="Q95" s="36" t="s">
        <v>668</v>
      </c>
      <c r="R95" s="36"/>
      <c r="S95" s="85" t="s">
        <v>176</v>
      </c>
      <c r="T95" s="36" t="s">
        <v>48</v>
      </c>
      <c r="U95" s="36" t="s">
        <v>64</v>
      </c>
      <c r="V95" s="85" t="s">
        <v>694</v>
      </c>
      <c r="W95" s="85" t="s">
        <v>695</v>
      </c>
      <c r="X95" s="85" t="s">
        <v>696</v>
      </c>
      <c r="Y95" s="36" t="s">
        <v>697</v>
      </c>
      <c r="Z95" s="36" t="s">
        <v>116</v>
      </c>
      <c r="AA95" s="36" t="s">
        <v>55</v>
      </c>
      <c r="AB95" s="36" t="s">
        <v>586</v>
      </c>
      <c r="AC95" s="36"/>
      <c r="AD95" s="36"/>
      <c r="AE95" s="36"/>
      <c r="AF95" s="36"/>
      <c r="AG95" s="83"/>
      <c r="AH95" s="83"/>
      <c r="AI95" s="36"/>
      <c r="AK95" s="36"/>
    </row>
    <row r="96" spans="1:37" ht="42.75">
      <c r="A96" s="36">
        <v>95</v>
      </c>
      <c r="B96" s="36"/>
      <c r="C96" s="77" t="s">
        <v>106</v>
      </c>
      <c r="D96" s="36" t="s">
        <v>227</v>
      </c>
      <c r="E96" s="36" t="s">
        <v>226</v>
      </c>
      <c r="F96" s="36" t="s">
        <v>153</v>
      </c>
      <c r="G96" s="36" t="s">
        <v>398</v>
      </c>
      <c r="H96" s="36" t="s">
        <v>41</v>
      </c>
      <c r="I96" s="36"/>
      <c r="J96" s="36"/>
      <c r="K96" s="36"/>
      <c r="L96" s="36"/>
      <c r="M96" s="88" t="s">
        <v>451</v>
      </c>
      <c r="N96" s="36" t="s">
        <v>174</v>
      </c>
      <c r="O96" s="36" t="s">
        <v>62</v>
      </c>
      <c r="P96" s="36" t="s">
        <v>62</v>
      </c>
      <c r="Q96" s="36" t="s">
        <v>668</v>
      </c>
      <c r="R96" s="36"/>
      <c r="S96" s="85" t="s">
        <v>176</v>
      </c>
      <c r="T96" s="36" t="s">
        <v>48</v>
      </c>
      <c r="U96" s="36" t="s">
        <v>638</v>
      </c>
      <c r="V96" s="85" t="s">
        <v>698</v>
      </c>
      <c r="W96" s="85" t="s">
        <v>699</v>
      </c>
      <c r="X96" s="85" t="s">
        <v>700</v>
      </c>
      <c r="Y96" s="36" t="s">
        <v>701</v>
      </c>
      <c r="Z96" s="36" t="s">
        <v>116</v>
      </c>
      <c r="AA96" s="36" t="s">
        <v>55</v>
      </c>
      <c r="AB96" s="36" t="s">
        <v>656</v>
      </c>
      <c r="AC96" s="36" t="s">
        <v>643</v>
      </c>
      <c r="AD96" s="36"/>
      <c r="AE96" s="36"/>
      <c r="AF96" s="36"/>
      <c r="AG96" s="83"/>
      <c r="AH96" s="83"/>
      <c r="AI96" s="36"/>
      <c r="AK96" s="36"/>
    </row>
    <row r="97" spans="1:37" ht="57">
      <c r="A97" s="36">
        <v>96</v>
      </c>
      <c r="B97" s="36"/>
      <c r="C97" s="77" t="s">
        <v>106</v>
      </c>
      <c r="D97" s="36" t="s">
        <v>219</v>
      </c>
      <c r="E97" s="36" t="s">
        <v>88</v>
      </c>
      <c r="F97" s="36" t="s">
        <v>153</v>
      </c>
      <c r="G97" s="36" t="s">
        <v>107</v>
      </c>
      <c r="H97" s="36" t="s">
        <v>41</v>
      </c>
      <c r="I97" s="36"/>
      <c r="J97" s="36"/>
      <c r="K97" s="36"/>
      <c r="L97" s="36"/>
      <c r="M97" s="88" t="s">
        <v>451</v>
      </c>
      <c r="N97" s="36" t="s">
        <v>174</v>
      </c>
      <c r="O97" s="36" t="s">
        <v>62</v>
      </c>
      <c r="P97" s="36" t="s">
        <v>62</v>
      </c>
      <c r="Q97" s="36" t="s">
        <v>668</v>
      </c>
      <c r="R97" s="36"/>
      <c r="S97" s="85" t="s">
        <v>176</v>
      </c>
      <c r="T97" s="36" t="s">
        <v>48</v>
      </c>
      <c r="U97" s="36" t="s">
        <v>638</v>
      </c>
      <c r="V97" s="85" t="s">
        <v>702</v>
      </c>
      <c r="W97" s="85" t="s">
        <v>703</v>
      </c>
      <c r="X97" s="85" t="s">
        <v>704</v>
      </c>
      <c r="Y97" s="36" t="s">
        <v>705</v>
      </c>
      <c r="Z97" s="36" t="s">
        <v>116</v>
      </c>
      <c r="AA97" s="36" t="s">
        <v>55</v>
      </c>
      <c r="AB97" s="36" t="s">
        <v>656</v>
      </c>
      <c r="AC97" s="36" t="s">
        <v>643</v>
      </c>
      <c r="AD97" s="36"/>
      <c r="AE97" s="36" t="s">
        <v>706</v>
      </c>
      <c r="AF97" s="36"/>
      <c r="AG97" s="83"/>
      <c r="AH97" s="83"/>
      <c r="AI97" s="36"/>
      <c r="AK97" s="36"/>
    </row>
    <row r="98" spans="1:37" ht="42.75">
      <c r="A98" s="36">
        <v>97</v>
      </c>
      <c r="B98" s="36"/>
      <c r="C98" s="77" t="s">
        <v>106</v>
      </c>
      <c r="D98" s="36" t="s">
        <v>556</v>
      </c>
      <c r="E98" s="24" t="s">
        <v>329</v>
      </c>
      <c r="F98" s="36" t="s">
        <v>75</v>
      </c>
      <c r="G98" s="36" t="s">
        <v>707</v>
      </c>
      <c r="H98" s="36" t="s">
        <v>41</v>
      </c>
      <c r="I98" s="36"/>
      <c r="J98" s="36"/>
      <c r="K98" s="36"/>
      <c r="L98" s="36"/>
      <c r="M98" s="88" t="s">
        <v>451</v>
      </c>
      <c r="N98" s="36" t="s">
        <v>174</v>
      </c>
      <c r="O98" s="36" t="s">
        <v>62</v>
      </c>
      <c r="P98" s="36" t="s">
        <v>62</v>
      </c>
      <c r="Q98" s="36" t="s">
        <v>668</v>
      </c>
      <c r="R98" s="36"/>
      <c r="S98" s="85" t="s">
        <v>176</v>
      </c>
      <c r="T98" s="36" t="s">
        <v>48</v>
      </c>
      <c r="U98" s="36" t="s">
        <v>80</v>
      </c>
      <c r="V98" s="36" t="s">
        <v>708</v>
      </c>
      <c r="W98" s="85" t="s">
        <v>709</v>
      </c>
      <c r="X98" s="85" t="s">
        <v>710</v>
      </c>
      <c r="Y98" s="36" t="s">
        <v>711</v>
      </c>
      <c r="Z98" s="36" t="s">
        <v>116</v>
      </c>
      <c r="AA98" s="36" t="s">
        <v>55</v>
      </c>
      <c r="AB98" s="36" t="s">
        <v>712</v>
      </c>
      <c r="AC98" s="36" t="s">
        <v>713</v>
      </c>
      <c r="AD98" s="36"/>
      <c r="AE98" s="36" t="s">
        <v>714</v>
      </c>
      <c r="AF98" s="36"/>
      <c r="AG98" s="83"/>
      <c r="AH98" s="83"/>
      <c r="AI98" s="36"/>
      <c r="AK98" s="36"/>
    </row>
    <row r="99" spans="1:37" ht="114">
      <c r="A99" s="36">
        <v>98</v>
      </c>
      <c r="B99" s="36"/>
      <c r="C99" s="77" t="s">
        <v>106</v>
      </c>
      <c r="D99" s="36" t="s">
        <v>613</v>
      </c>
      <c r="E99" s="36" t="s">
        <v>268</v>
      </c>
      <c r="F99" s="36" t="s">
        <v>227</v>
      </c>
      <c r="G99" s="36"/>
      <c r="H99" s="36" t="s">
        <v>41</v>
      </c>
      <c r="I99" s="36"/>
      <c r="J99" s="36" t="s">
        <v>715</v>
      </c>
      <c r="K99" s="36" t="s">
        <v>562</v>
      </c>
      <c r="L99" s="36"/>
      <c r="M99" s="88" t="s">
        <v>451</v>
      </c>
      <c r="N99" s="36" t="s">
        <v>244</v>
      </c>
      <c r="O99" s="36" t="s">
        <v>62</v>
      </c>
      <c r="P99" s="36" t="s">
        <v>62</v>
      </c>
      <c r="Q99" s="36" t="s">
        <v>668</v>
      </c>
      <c r="R99" s="36"/>
      <c r="S99" s="36" t="s">
        <v>204</v>
      </c>
      <c r="T99" s="36" t="s">
        <v>48</v>
      </c>
      <c r="U99" s="36" t="s">
        <v>49</v>
      </c>
      <c r="V99" s="36" t="s">
        <v>716</v>
      </c>
      <c r="W99" s="36" t="s">
        <v>717</v>
      </c>
      <c r="X99" s="85" t="s">
        <v>718</v>
      </c>
      <c r="Y99" s="36" t="s">
        <v>719</v>
      </c>
      <c r="Z99" s="36" t="s">
        <v>116</v>
      </c>
      <c r="AA99" s="36" t="s">
        <v>55</v>
      </c>
      <c r="AB99" s="36" t="s">
        <v>720</v>
      </c>
      <c r="AC99" s="36" t="s">
        <v>721</v>
      </c>
      <c r="AD99" s="24" t="s">
        <v>722</v>
      </c>
      <c r="AE99" s="36" t="s">
        <v>723</v>
      </c>
      <c r="AF99" s="36"/>
      <c r="AG99" s="83"/>
      <c r="AH99" s="83"/>
      <c r="AI99" s="36"/>
      <c r="AK99" s="36"/>
    </row>
    <row r="100" spans="1:37" ht="42.75">
      <c r="A100" s="36">
        <v>99</v>
      </c>
      <c r="B100" s="36"/>
      <c r="C100" s="77" t="s">
        <v>106</v>
      </c>
      <c r="D100" s="36" t="s">
        <v>183</v>
      </c>
      <c r="E100" s="36" t="s">
        <v>226</v>
      </c>
      <c r="F100" s="36" t="s">
        <v>658</v>
      </c>
      <c r="G100" s="36" t="s">
        <v>89</v>
      </c>
      <c r="H100" s="36" t="s">
        <v>41</v>
      </c>
      <c r="I100" s="36"/>
      <c r="J100" s="36"/>
      <c r="K100" s="36"/>
      <c r="L100" s="36"/>
      <c r="M100" s="88" t="s">
        <v>451</v>
      </c>
      <c r="N100" s="36" t="s">
        <v>244</v>
      </c>
      <c r="O100" s="36" t="s">
        <v>724</v>
      </c>
      <c r="P100" s="36" t="s">
        <v>724</v>
      </c>
      <c r="Q100" s="36" t="s">
        <v>725</v>
      </c>
      <c r="R100" s="36"/>
      <c r="S100" s="36" t="s">
        <v>204</v>
      </c>
      <c r="T100" s="36" t="s">
        <v>48</v>
      </c>
      <c r="U100" s="36" t="s">
        <v>146</v>
      </c>
      <c r="V100" s="36" t="s">
        <v>726</v>
      </c>
      <c r="W100" s="36" t="s">
        <v>727</v>
      </c>
      <c r="X100" s="85" t="s">
        <v>728</v>
      </c>
      <c r="Y100" s="36" t="s">
        <v>729</v>
      </c>
      <c r="Z100" s="36" t="s">
        <v>730</v>
      </c>
      <c r="AA100" s="36" t="s">
        <v>55</v>
      </c>
      <c r="AB100" s="36" t="s">
        <v>217</v>
      </c>
      <c r="AC100" s="36"/>
      <c r="AD100" s="36"/>
      <c r="AE100" s="36"/>
      <c r="AF100" s="36"/>
      <c r="AG100" s="83"/>
      <c r="AH100" s="83"/>
      <c r="AI100" s="36"/>
      <c r="AK100" s="36"/>
    </row>
    <row r="101" spans="1:37" ht="85.5">
      <c r="A101" s="36">
        <v>100</v>
      </c>
      <c r="B101" s="36"/>
      <c r="C101" s="77" t="s">
        <v>242</v>
      </c>
      <c r="D101" s="36" t="s">
        <v>61</v>
      </c>
      <c r="E101" s="36" t="s">
        <v>88</v>
      </c>
      <c r="F101" s="36" t="s">
        <v>581</v>
      </c>
      <c r="G101" s="36" t="s">
        <v>228</v>
      </c>
      <c r="H101" s="36" t="s">
        <v>41</v>
      </c>
      <c r="I101" s="36"/>
      <c r="J101" s="36"/>
      <c r="K101" s="36"/>
      <c r="L101" s="36"/>
      <c r="M101" s="88" t="s">
        <v>451</v>
      </c>
      <c r="N101" s="36" t="s">
        <v>244</v>
      </c>
      <c r="O101" s="36" t="s">
        <v>366</v>
      </c>
      <c r="P101" s="36" t="s">
        <v>366</v>
      </c>
      <c r="Q101" s="36" t="s">
        <v>725</v>
      </c>
      <c r="R101" s="36"/>
      <c r="S101" s="36" t="s">
        <v>204</v>
      </c>
      <c r="T101" s="36" t="s">
        <v>48</v>
      </c>
      <c r="U101" s="36" t="s">
        <v>229</v>
      </c>
      <c r="V101" s="36" t="s">
        <v>731</v>
      </c>
      <c r="W101" s="36" t="s">
        <v>732</v>
      </c>
      <c r="X101" s="36" t="s">
        <v>733</v>
      </c>
      <c r="Y101" s="36" t="s">
        <v>734</v>
      </c>
      <c r="Z101" s="36" t="s">
        <v>116</v>
      </c>
      <c r="AA101" s="36" t="s">
        <v>55</v>
      </c>
      <c r="AB101" s="85" t="s">
        <v>735</v>
      </c>
      <c r="AC101" s="36"/>
      <c r="AD101" s="36"/>
      <c r="AE101" s="36" t="s">
        <v>736</v>
      </c>
      <c r="AF101" s="36"/>
      <c r="AG101" s="83"/>
      <c r="AH101" s="83"/>
      <c r="AI101" s="36"/>
      <c r="AK101" s="36"/>
    </row>
    <row r="102" spans="1:37" ht="42.75">
      <c r="A102" s="36">
        <v>101</v>
      </c>
      <c r="B102" s="36"/>
      <c r="C102" s="77" t="s">
        <v>242</v>
      </c>
      <c r="D102" s="36" t="s">
        <v>98</v>
      </c>
      <c r="E102" s="36" t="s">
        <v>219</v>
      </c>
      <c r="F102" s="36" t="s">
        <v>75</v>
      </c>
      <c r="G102" s="36" t="s">
        <v>76</v>
      </c>
      <c r="H102" s="36" t="s">
        <v>41</v>
      </c>
      <c r="I102" s="36"/>
      <c r="J102" s="36"/>
      <c r="K102" s="36"/>
      <c r="L102" s="36"/>
      <c r="M102" s="36" t="s">
        <v>459</v>
      </c>
      <c r="N102" s="36" t="s">
        <v>244</v>
      </c>
      <c r="O102" s="36" t="s">
        <v>271</v>
      </c>
      <c r="P102" s="36" t="s">
        <v>271</v>
      </c>
      <c r="Q102" s="36" t="s">
        <v>725</v>
      </c>
      <c r="R102" s="36"/>
      <c r="S102" s="36" t="s">
        <v>204</v>
      </c>
      <c r="T102" s="36" t="s">
        <v>286</v>
      </c>
      <c r="U102" s="92" t="s">
        <v>80</v>
      </c>
      <c r="V102" s="92" t="s">
        <v>737</v>
      </c>
      <c r="W102" s="36" t="s">
        <v>82</v>
      </c>
      <c r="X102" s="36" t="s">
        <v>738</v>
      </c>
      <c r="Y102" s="36" t="s">
        <v>739</v>
      </c>
      <c r="Z102" s="36" t="s">
        <v>116</v>
      </c>
      <c r="AA102" s="36" t="s">
        <v>55</v>
      </c>
      <c r="AB102" s="86" t="s">
        <v>740</v>
      </c>
      <c r="AC102" s="86" t="s">
        <v>741</v>
      </c>
      <c r="AD102" s="36"/>
      <c r="AE102" s="36"/>
      <c r="AF102" s="36"/>
      <c r="AG102" s="83"/>
      <c r="AH102" s="83"/>
      <c r="AI102" s="36"/>
      <c r="AK102" s="36"/>
    </row>
    <row r="103" spans="1:37" ht="42.75">
      <c r="A103" s="36">
        <v>102</v>
      </c>
      <c r="B103" s="36"/>
      <c r="C103" s="77" t="s">
        <v>242</v>
      </c>
      <c r="D103" s="36" t="s">
        <v>58</v>
      </c>
      <c r="E103" s="36" t="s">
        <v>74</v>
      </c>
      <c r="F103" s="36" t="s">
        <v>60</v>
      </c>
      <c r="G103" s="36" t="s">
        <v>392</v>
      </c>
      <c r="H103" s="36" t="s">
        <v>41</v>
      </c>
      <c r="I103" s="36"/>
      <c r="J103" s="36"/>
      <c r="K103" s="36"/>
      <c r="L103" s="36"/>
      <c r="M103" s="88" t="s">
        <v>451</v>
      </c>
      <c r="N103" s="36" t="s">
        <v>244</v>
      </c>
      <c r="O103" s="36" t="s">
        <v>366</v>
      </c>
      <c r="P103" s="36" t="s">
        <v>366</v>
      </c>
      <c r="Q103" s="36" t="s">
        <v>725</v>
      </c>
      <c r="R103" s="36"/>
      <c r="S103" s="36" t="s">
        <v>204</v>
      </c>
      <c r="T103" s="36" t="s">
        <v>48</v>
      </c>
      <c r="U103" s="36" t="s">
        <v>64</v>
      </c>
      <c r="V103" s="36" t="s">
        <v>65</v>
      </c>
      <c r="W103" s="36" t="s">
        <v>66</v>
      </c>
      <c r="X103" s="36" t="s">
        <v>742</v>
      </c>
      <c r="Y103" s="36" t="s">
        <v>743</v>
      </c>
      <c r="Z103" s="36" t="s">
        <v>116</v>
      </c>
      <c r="AA103" s="36" t="s">
        <v>55</v>
      </c>
      <c r="AB103" s="36" t="s">
        <v>744</v>
      </c>
      <c r="AC103" s="36" t="s">
        <v>745</v>
      </c>
      <c r="AD103" s="36" t="s">
        <v>746</v>
      </c>
      <c r="AE103" s="36" t="s">
        <v>747</v>
      </c>
      <c r="AF103" s="36"/>
      <c r="AG103" s="83"/>
      <c r="AH103" s="83"/>
      <c r="AI103" s="36"/>
      <c r="AK103" s="36"/>
    </row>
    <row r="104" spans="1:37" ht="57">
      <c r="A104" s="36">
        <v>103</v>
      </c>
      <c r="B104" s="36"/>
      <c r="C104" s="77" t="s">
        <v>242</v>
      </c>
      <c r="D104" s="36" t="s">
        <v>61</v>
      </c>
      <c r="E104" s="36" t="s">
        <v>226</v>
      </c>
      <c r="F104" s="36" t="s">
        <v>688</v>
      </c>
      <c r="G104" s="36" t="s">
        <v>228</v>
      </c>
      <c r="H104" s="36" t="s">
        <v>41</v>
      </c>
      <c r="I104" s="36"/>
      <c r="J104" s="36"/>
      <c r="K104" s="36"/>
      <c r="L104" s="36"/>
      <c r="M104" s="88" t="s">
        <v>451</v>
      </c>
      <c r="N104" s="36" t="s">
        <v>244</v>
      </c>
      <c r="O104" s="36" t="s">
        <v>366</v>
      </c>
      <c r="P104" s="36" t="s">
        <v>366</v>
      </c>
      <c r="Q104" s="36" t="s">
        <v>725</v>
      </c>
      <c r="R104" s="36"/>
      <c r="S104" s="36" t="s">
        <v>204</v>
      </c>
      <c r="T104" s="36" t="s">
        <v>48</v>
      </c>
      <c r="U104" s="36" t="s">
        <v>229</v>
      </c>
      <c r="V104" s="36" t="s">
        <v>748</v>
      </c>
      <c r="W104" s="36" t="s">
        <v>749</v>
      </c>
      <c r="X104" s="36" t="s">
        <v>750</v>
      </c>
      <c r="Y104" s="36" t="s">
        <v>751</v>
      </c>
      <c r="Z104" s="36" t="s">
        <v>116</v>
      </c>
      <c r="AA104" s="36" t="s">
        <v>55</v>
      </c>
      <c r="AB104" s="85" t="s">
        <v>735</v>
      </c>
      <c r="AC104" s="36" t="s">
        <v>752</v>
      </c>
      <c r="AD104" s="36" t="s">
        <v>753</v>
      </c>
      <c r="AE104" s="36" t="s">
        <v>754</v>
      </c>
      <c r="AF104" s="36"/>
      <c r="AG104" s="83"/>
      <c r="AH104" s="83"/>
      <c r="AI104" s="36"/>
      <c r="AK104" s="36"/>
    </row>
    <row r="105" spans="1:37" ht="42.75">
      <c r="A105" s="36">
        <v>104</v>
      </c>
      <c r="B105" s="36"/>
      <c r="C105" s="77" t="s">
        <v>378</v>
      </c>
      <c r="D105" s="36" t="s">
        <v>137</v>
      </c>
      <c r="E105" s="36" t="s">
        <v>755</v>
      </c>
      <c r="F105" s="36" t="s">
        <v>688</v>
      </c>
      <c r="G105" s="36" t="s">
        <v>173</v>
      </c>
      <c r="H105" s="36" t="s">
        <v>41</v>
      </c>
      <c r="I105" s="36"/>
      <c r="J105" s="36"/>
      <c r="K105" s="36"/>
      <c r="L105" s="36"/>
      <c r="M105" s="88" t="s">
        <v>451</v>
      </c>
      <c r="N105" s="36" t="s">
        <v>174</v>
      </c>
      <c r="O105" s="36" t="s">
        <v>756</v>
      </c>
      <c r="P105" s="36" t="s">
        <v>756</v>
      </c>
      <c r="Q105" s="36" t="s">
        <v>725</v>
      </c>
      <c r="R105" s="36"/>
      <c r="S105" s="85" t="s">
        <v>176</v>
      </c>
      <c r="T105" s="36" t="s">
        <v>48</v>
      </c>
      <c r="U105" s="36" t="s">
        <v>64</v>
      </c>
      <c r="V105" s="36" t="s">
        <v>757</v>
      </c>
      <c r="W105" s="93" t="s">
        <v>758</v>
      </c>
      <c r="X105" s="85" t="s">
        <v>759</v>
      </c>
      <c r="Y105" s="36" t="s">
        <v>760</v>
      </c>
      <c r="Z105" s="36" t="s">
        <v>116</v>
      </c>
      <c r="AA105" s="36" t="s">
        <v>55</v>
      </c>
      <c r="AB105" s="36" t="s">
        <v>744</v>
      </c>
      <c r="AC105" s="36" t="s">
        <v>746</v>
      </c>
      <c r="AD105" s="83"/>
      <c r="AE105" s="36" t="s">
        <v>761</v>
      </c>
      <c r="AF105" s="36" t="s">
        <v>762</v>
      </c>
      <c r="AG105" s="36" t="s">
        <v>763</v>
      </c>
      <c r="AH105" s="36"/>
      <c r="AI105" s="36"/>
      <c r="AK105" s="36"/>
    </row>
    <row r="106" spans="1:37" ht="42.75">
      <c r="A106" s="36">
        <v>105</v>
      </c>
      <c r="B106" s="36"/>
      <c r="C106" s="77" t="s">
        <v>267</v>
      </c>
      <c r="D106" s="36" t="s">
        <v>137</v>
      </c>
      <c r="E106" s="36" t="s">
        <v>107</v>
      </c>
      <c r="F106" s="36" t="s">
        <v>37</v>
      </c>
      <c r="G106" s="36" t="s">
        <v>219</v>
      </c>
      <c r="H106" s="36" t="s">
        <v>41</v>
      </c>
      <c r="I106" s="36"/>
      <c r="J106" s="36"/>
      <c r="K106" s="36"/>
      <c r="L106" s="36"/>
      <c r="M106" s="36" t="s">
        <v>459</v>
      </c>
      <c r="N106" s="36" t="s">
        <v>174</v>
      </c>
      <c r="O106" s="36" t="s">
        <v>271</v>
      </c>
      <c r="P106" s="36" t="s">
        <v>271</v>
      </c>
      <c r="Q106" s="36" t="s">
        <v>725</v>
      </c>
      <c r="R106" s="36"/>
      <c r="S106" s="85" t="s">
        <v>176</v>
      </c>
      <c r="T106" s="36" t="s">
        <v>286</v>
      </c>
      <c r="U106" s="36" t="s">
        <v>64</v>
      </c>
      <c r="V106" s="85" t="s">
        <v>764</v>
      </c>
      <c r="W106" s="85" t="s">
        <v>765</v>
      </c>
      <c r="X106" s="85" t="s">
        <v>766</v>
      </c>
      <c r="Y106" s="36" t="s">
        <v>767</v>
      </c>
      <c r="Z106" s="36" t="s">
        <v>116</v>
      </c>
      <c r="AA106" s="36" t="s">
        <v>55</v>
      </c>
      <c r="AB106" s="85" t="s">
        <v>768</v>
      </c>
      <c r="AC106" s="85" t="s">
        <v>769</v>
      </c>
      <c r="AD106" s="36"/>
      <c r="AE106" s="36" t="s">
        <v>770</v>
      </c>
      <c r="AF106" s="36" t="s">
        <v>762</v>
      </c>
      <c r="AG106" s="36" t="s">
        <v>771</v>
      </c>
      <c r="AH106" s="36"/>
      <c r="AI106" s="36"/>
      <c r="AK106" s="36"/>
    </row>
    <row r="107" spans="1:37" ht="57">
      <c r="A107" s="24">
        <v>106</v>
      </c>
      <c r="B107" s="36"/>
      <c r="C107" s="77" t="s">
        <v>267</v>
      </c>
      <c r="D107" s="36" t="s">
        <v>307</v>
      </c>
      <c r="E107" s="36" t="s">
        <v>772</v>
      </c>
      <c r="F107" s="36" t="s">
        <v>143</v>
      </c>
      <c r="G107" s="36" t="s">
        <v>473</v>
      </c>
      <c r="H107" s="36" t="s">
        <v>41</v>
      </c>
      <c r="I107" s="36"/>
      <c r="J107" s="36"/>
      <c r="K107" s="36"/>
      <c r="L107" s="36"/>
      <c r="M107" s="36" t="s">
        <v>459</v>
      </c>
      <c r="N107" s="36" t="s">
        <v>174</v>
      </c>
      <c r="O107" s="36" t="s">
        <v>366</v>
      </c>
      <c r="P107" s="36" t="s">
        <v>366</v>
      </c>
      <c r="Q107" s="36" t="s">
        <v>725</v>
      </c>
      <c r="R107" s="36"/>
      <c r="S107" s="85" t="s">
        <v>176</v>
      </c>
      <c r="T107" s="36" t="s">
        <v>286</v>
      </c>
      <c r="U107" s="36" t="s">
        <v>324</v>
      </c>
      <c r="V107" s="36" t="s">
        <v>773</v>
      </c>
      <c r="W107" s="36" t="s">
        <v>774</v>
      </c>
      <c r="X107" s="85" t="s">
        <v>775</v>
      </c>
      <c r="Y107" s="36" t="s">
        <v>776</v>
      </c>
      <c r="Z107" s="36" t="s">
        <v>116</v>
      </c>
      <c r="AA107" s="36" t="s">
        <v>55</v>
      </c>
      <c r="AB107" s="36" t="s">
        <v>777</v>
      </c>
      <c r="AC107" s="36" t="s">
        <v>778</v>
      </c>
      <c r="AD107" s="36"/>
      <c r="AE107" s="36" t="s">
        <v>779</v>
      </c>
      <c r="AF107" s="36" t="s">
        <v>780</v>
      </c>
      <c r="AG107" s="36" t="s">
        <v>771</v>
      </c>
      <c r="AH107" s="36"/>
      <c r="AI107" s="36"/>
      <c r="AK107" s="36"/>
    </row>
    <row r="108" spans="1:37" ht="71.25">
      <c r="A108" s="36">
        <v>107</v>
      </c>
      <c r="B108" s="36"/>
      <c r="C108" s="77" t="s">
        <v>267</v>
      </c>
      <c r="D108" s="36" t="s">
        <v>226</v>
      </c>
      <c r="E108" s="24" t="s">
        <v>437</v>
      </c>
      <c r="F108" s="36" t="s">
        <v>173</v>
      </c>
      <c r="G108" s="36" t="s">
        <v>75</v>
      </c>
      <c r="H108" s="36" t="s">
        <v>41</v>
      </c>
      <c r="I108" s="36"/>
      <c r="J108" s="36"/>
      <c r="K108" s="36"/>
      <c r="L108" s="36"/>
      <c r="M108" s="88" t="s">
        <v>451</v>
      </c>
      <c r="N108" s="36" t="s">
        <v>270</v>
      </c>
      <c r="O108" s="36" t="s">
        <v>271</v>
      </c>
      <c r="P108" s="36" t="s">
        <v>271</v>
      </c>
      <c r="Q108" s="36" t="s">
        <v>725</v>
      </c>
      <c r="R108" s="36"/>
      <c r="S108" s="85" t="s">
        <v>273</v>
      </c>
      <c r="T108" s="36" t="s">
        <v>48</v>
      </c>
      <c r="U108" s="36" t="s">
        <v>111</v>
      </c>
      <c r="V108" s="85" t="s">
        <v>452</v>
      </c>
      <c r="W108" s="92" t="s">
        <v>453</v>
      </c>
      <c r="X108" s="85" t="s">
        <v>781</v>
      </c>
      <c r="Y108" s="36" t="s">
        <v>782</v>
      </c>
      <c r="Z108" s="36" t="s">
        <v>116</v>
      </c>
      <c r="AA108" s="36" t="s">
        <v>55</v>
      </c>
      <c r="AB108" s="36" t="s">
        <v>783</v>
      </c>
      <c r="AC108" s="36" t="s">
        <v>784</v>
      </c>
      <c r="AD108" s="36" t="s">
        <v>785</v>
      </c>
      <c r="AE108" s="36"/>
      <c r="AF108" s="36" t="s">
        <v>786</v>
      </c>
      <c r="AG108" s="36" t="s">
        <v>771</v>
      </c>
      <c r="AH108" s="36"/>
      <c r="AI108" s="36"/>
      <c r="AK108" s="36"/>
    </row>
    <row r="109" spans="1:37" ht="57">
      <c r="A109" s="36">
        <v>108</v>
      </c>
      <c r="B109" s="36"/>
      <c r="C109" s="77" t="s">
        <v>267</v>
      </c>
      <c r="D109" s="36" t="s">
        <v>268</v>
      </c>
      <c r="E109" s="36" t="s">
        <v>59</v>
      </c>
      <c r="F109" s="36" t="s">
        <v>512</v>
      </c>
      <c r="G109" s="36" t="s">
        <v>89</v>
      </c>
      <c r="H109" s="36" t="s">
        <v>41</v>
      </c>
      <c r="I109" s="36"/>
      <c r="J109" s="36"/>
      <c r="K109" s="36"/>
      <c r="L109" s="36"/>
      <c r="M109" s="88" t="s">
        <v>451</v>
      </c>
      <c r="N109" s="36" t="s">
        <v>174</v>
      </c>
      <c r="O109" s="36" t="s">
        <v>366</v>
      </c>
      <c r="P109" s="36" t="s">
        <v>366</v>
      </c>
      <c r="Q109" s="36" t="s">
        <v>725</v>
      </c>
      <c r="R109" s="36"/>
      <c r="S109" s="85" t="s">
        <v>176</v>
      </c>
      <c r="T109" s="36" t="s">
        <v>48</v>
      </c>
      <c r="U109" s="36" t="s">
        <v>64</v>
      </c>
      <c r="V109" s="85" t="s">
        <v>787</v>
      </c>
      <c r="W109" s="92" t="s">
        <v>788</v>
      </c>
      <c r="X109" s="85" t="s">
        <v>789</v>
      </c>
      <c r="Y109" s="36" t="s">
        <v>790</v>
      </c>
      <c r="Z109" s="36" t="s">
        <v>116</v>
      </c>
      <c r="AA109" s="36" t="s">
        <v>55</v>
      </c>
      <c r="AB109" s="36" t="s">
        <v>744</v>
      </c>
      <c r="AC109" s="36" t="s">
        <v>745</v>
      </c>
      <c r="AD109" s="36" t="s">
        <v>746</v>
      </c>
      <c r="AE109" s="36"/>
      <c r="AF109" s="36" t="s">
        <v>791</v>
      </c>
      <c r="AG109" s="36" t="s">
        <v>771</v>
      </c>
      <c r="AH109" s="36"/>
      <c r="AI109" s="36"/>
      <c r="AK109" s="36"/>
    </row>
    <row r="110" spans="1:37" ht="57">
      <c r="A110" s="36">
        <v>109</v>
      </c>
      <c r="B110" s="36"/>
      <c r="C110" s="77" t="s">
        <v>267</v>
      </c>
      <c r="D110" s="36" t="s">
        <v>688</v>
      </c>
      <c r="E110" s="36" t="s">
        <v>226</v>
      </c>
      <c r="F110" s="36" t="s">
        <v>236</v>
      </c>
      <c r="G110" s="36" t="s">
        <v>98</v>
      </c>
      <c r="H110" s="36" t="s">
        <v>41</v>
      </c>
      <c r="I110" s="36"/>
      <c r="J110" s="36"/>
      <c r="K110" s="36"/>
      <c r="L110" s="36"/>
      <c r="M110" s="88" t="s">
        <v>451</v>
      </c>
      <c r="N110" s="36" t="s">
        <v>174</v>
      </c>
      <c r="O110" s="36" t="s">
        <v>366</v>
      </c>
      <c r="P110" s="36" t="s">
        <v>366</v>
      </c>
      <c r="Q110" s="36" t="s">
        <v>725</v>
      </c>
      <c r="R110" s="36"/>
      <c r="S110" s="85" t="s">
        <v>176</v>
      </c>
      <c r="T110" s="36" t="s">
        <v>48</v>
      </c>
      <c r="U110" s="36" t="s">
        <v>229</v>
      </c>
      <c r="V110" s="94" t="s">
        <v>792</v>
      </c>
      <c r="W110" s="85" t="s">
        <v>793</v>
      </c>
      <c r="X110" s="85" t="s">
        <v>794</v>
      </c>
      <c r="Y110" s="36" t="s">
        <v>795</v>
      </c>
      <c r="Z110" s="36" t="s">
        <v>116</v>
      </c>
      <c r="AA110" s="36" t="s">
        <v>55</v>
      </c>
      <c r="AB110" s="36" t="s">
        <v>796</v>
      </c>
      <c r="AC110" s="36" t="s">
        <v>753</v>
      </c>
      <c r="AD110" s="36"/>
      <c r="AE110" s="36"/>
      <c r="AF110" s="36" t="s">
        <v>797</v>
      </c>
      <c r="AG110" s="36" t="s">
        <v>771</v>
      </c>
      <c r="AH110" s="36"/>
      <c r="AI110" s="36"/>
      <c r="AK110" s="36"/>
    </row>
    <row r="111" spans="1:37" ht="85.5">
      <c r="A111" s="36">
        <v>110</v>
      </c>
      <c r="B111" s="36"/>
      <c r="C111" s="77" t="s">
        <v>267</v>
      </c>
      <c r="D111" s="36" t="s">
        <v>58</v>
      </c>
      <c r="E111" s="36" t="s">
        <v>556</v>
      </c>
      <c r="F111" s="36" t="s">
        <v>119</v>
      </c>
      <c r="G111" s="36" t="s">
        <v>269</v>
      </c>
      <c r="H111" s="36" t="s">
        <v>41</v>
      </c>
      <c r="I111" s="36"/>
      <c r="J111" s="36"/>
      <c r="K111" s="36"/>
      <c r="L111" s="36"/>
      <c r="M111" s="88" t="s">
        <v>451</v>
      </c>
      <c r="N111" s="36" t="s">
        <v>244</v>
      </c>
      <c r="O111" s="36" t="s">
        <v>798</v>
      </c>
      <c r="P111" s="36" t="s">
        <v>798</v>
      </c>
      <c r="Q111" s="36" t="s">
        <v>725</v>
      </c>
      <c r="R111" s="36"/>
      <c r="S111" s="36" t="s">
        <v>204</v>
      </c>
      <c r="T111" s="36" t="s">
        <v>48</v>
      </c>
      <c r="U111" s="36" t="s">
        <v>64</v>
      </c>
      <c r="V111" s="36" t="s">
        <v>120</v>
      </c>
      <c r="W111" s="36" t="s">
        <v>121</v>
      </c>
      <c r="X111" s="36" t="s">
        <v>799</v>
      </c>
      <c r="Y111" s="36" t="s">
        <v>782</v>
      </c>
      <c r="Z111" s="36" t="s">
        <v>800</v>
      </c>
      <c r="AA111" s="36" t="s">
        <v>55</v>
      </c>
      <c r="AB111" s="36" t="s">
        <v>801</v>
      </c>
      <c r="AC111" s="36"/>
      <c r="AD111" s="36"/>
      <c r="AE111" s="36"/>
      <c r="AF111" s="36" t="s">
        <v>802</v>
      </c>
      <c r="AG111" s="36" t="s">
        <v>771</v>
      </c>
      <c r="AH111" s="36"/>
      <c r="AI111" s="36"/>
      <c r="AK111" s="36"/>
    </row>
    <row r="112" spans="1:37" ht="57.75">
      <c r="A112" s="36">
        <v>111</v>
      </c>
      <c r="B112" s="36"/>
      <c r="C112" s="77" t="s">
        <v>378</v>
      </c>
      <c r="D112" s="36" t="s">
        <v>219</v>
      </c>
      <c r="E112" s="36" t="s">
        <v>613</v>
      </c>
      <c r="F112" s="36" t="s">
        <v>392</v>
      </c>
      <c r="G112" s="36" t="s">
        <v>38</v>
      </c>
      <c r="H112" s="36" t="s">
        <v>41</v>
      </c>
      <c r="I112" s="36"/>
      <c r="J112" s="36"/>
      <c r="K112" s="36"/>
      <c r="L112" s="36"/>
      <c r="M112" s="88" t="s">
        <v>451</v>
      </c>
      <c r="N112" s="36" t="s">
        <v>174</v>
      </c>
      <c r="O112" s="36" t="s">
        <v>366</v>
      </c>
      <c r="P112" s="36" t="s">
        <v>366</v>
      </c>
      <c r="Q112" s="36" t="s">
        <v>803</v>
      </c>
      <c r="R112" s="36"/>
      <c r="S112" s="85" t="s">
        <v>176</v>
      </c>
      <c r="T112" s="36" t="s">
        <v>48</v>
      </c>
      <c r="U112" s="36" t="s">
        <v>213</v>
      </c>
      <c r="V112" s="36" t="s">
        <v>804</v>
      </c>
      <c r="W112" s="36" t="s">
        <v>805</v>
      </c>
      <c r="X112" s="95" t="s">
        <v>806</v>
      </c>
      <c r="Y112" s="82" t="s">
        <v>807</v>
      </c>
      <c r="Z112" s="36" t="s">
        <v>116</v>
      </c>
      <c r="AA112" s="36" t="s">
        <v>55</v>
      </c>
      <c r="AB112" s="36" t="s">
        <v>808</v>
      </c>
      <c r="AC112" s="36"/>
      <c r="AD112" s="36"/>
      <c r="AE112" s="36" t="s">
        <v>809</v>
      </c>
      <c r="AF112" s="36" t="s">
        <v>780</v>
      </c>
      <c r="AG112" s="82" t="s">
        <v>810</v>
      </c>
      <c r="AH112" s="82" t="s">
        <v>77</v>
      </c>
      <c r="AI112" s="36" t="s">
        <v>811</v>
      </c>
      <c r="AJ112" s="96" t="s">
        <v>812</v>
      </c>
      <c r="AK112" s="36" t="s">
        <v>813</v>
      </c>
    </row>
    <row r="113" spans="1:37" ht="71.25">
      <c r="A113" s="36">
        <v>112</v>
      </c>
      <c r="B113" s="36"/>
      <c r="C113" s="77" t="s">
        <v>378</v>
      </c>
      <c r="D113" s="36" t="s">
        <v>219</v>
      </c>
      <c r="E113" s="36" t="s">
        <v>142</v>
      </c>
      <c r="F113" s="36" t="s">
        <v>392</v>
      </c>
      <c r="G113" s="36" t="s">
        <v>212</v>
      </c>
      <c r="H113" s="36" t="s">
        <v>41</v>
      </c>
      <c r="I113" s="36"/>
      <c r="J113" s="36"/>
      <c r="K113" s="36"/>
      <c r="L113" s="36"/>
      <c r="M113" s="88" t="s">
        <v>451</v>
      </c>
      <c r="N113" s="36" t="s">
        <v>174</v>
      </c>
      <c r="O113" s="36" t="s">
        <v>366</v>
      </c>
      <c r="P113" s="36" t="s">
        <v>366</v>
      </c>
      <c r="Q113" s="36" t="s">
        <v>803</v>
      </c>
      <c r="R113" s="36"/>
      <c r="S113" s="85" t="s">
        <v>176</v>
      </c>
      <c r="T113" s="36" t="s">
        <v>48</v>
      </c>
      <c r="U113" s="36" t="s">
        <v>213</v>
      </c>
      <c r="V113" s="36" t="s">
        <v>814</v>
      </c>
      <c r="W113" s="36" t="s">
        <v>815</v>
      </c>
      <c r="X113" s="85" t="s">
        <v>816</v>
      </c>
      <c r="Y113" s="82" t="s">
        <v>817</v>
      </c>
      <c r="Z113" s="24" t="s">
        <v>85</v>
      </c>
      <c r="AA113" s="36" t="s">
        <v>55</v>
      </c>
      <c r="AB113" s="36" t="s">
        <v>818</v>
      </c>
      <c r="AC113" s="36" t="s">
        <v>819</v>
      </c>
      <c r="AD113" s="36"/>
      <c r="AE113" s="36"/>
      <c r="AF113" s="36" t="s">
        <v>797</v>
      </c>
      <c r="AG113" s="82" t="s">
        <v>810</v>
      </c>
      <c r="AH113" s="82"/>
      <c r="AI113" s="36"/>
      <c r="AJ113" s="96"/>
      <c r="AK113" s="36"/>
    </row>
    <row r="114" spans="1:37" ht="57">
      <c r="A114" s="36">
        <v>113</v>
      </c>
      <c r="B114" s="36"/>
      <c r="C114" s="77" t="s">
        <v>378</v>
      </c>
      <c r="D114" s="36" t="s">
        <v>143</v>
      </c>
      <c r="E114" s="36" t="s">
        <v>58</v>
      </c>
      <c r="F114" s="36" t="s">
        <v>61</v>
      </c>
      <c r="G114" s="36" t="s">
        <v>37</v>
      </c>
      <c r="H114" s="36" t="s">
        <v>41</v>
      </c>
      <c r="I114" s="36"/>
      <c r="J114" s="27" t="s">
        <v>561</v>
      </c>
      <c r="K114" s="27" t="s">
        <v>562</v>
      </c>
      <c r="L114" s="36"/>
      <c r="M114" s="88" t="s">
        <v>451</v>
      </c>
      <c r="N114" s="36" t="s">
        <v>244</v>
      </c>
      <c r="O114" s="36" t="s">
        <v>62</v>
      </c>
      <c r="P114" s="36" t="s">
        <v>62</v>
      </c>
      <c r="Q114" s="36" t="s">
        <v>803</v>
      </c>
      <c r="R114" s="36"/>
      <c r="S114" s="36" t="s">
        <v>204</v>
      </c>
      <c r="T114" s="36" t="s">
        <v>48</v>
      </c>
      <c r="U114" s="36" t="s">
        <v>64</v>
      </c>
      <c r="V114" s="36" t="s">
        <v>563</v>
      </c>
      <c r="W114" s="36" t="s">
        <v>564</v>
      </c>
      <c r="X114" s="85" t="s">
        <v>565</v>
      </c>
      <c r="Y114" s="36" t="s">
        <v>820</v>
      </c>
      <c r="Z114" s="36" t="s">
        <v>116</v>
      </c>
      <c r="AA114" s="36" t="s">
        <v>55</v>
      </c>
      <c r="AB114" s="36" t="s">
        <v>821</v>
      </c>
      <c r="AC114" s="36" t="s">
        <v>822</v>
      </c>
      <c r="AD114" s="36" t="s">
        <v>823</v>
      </c>
      <c r="AE114" s="36" t="s">
        <v>824</v>
      </c>
      <c r="AF114" s="36" t="s">
        <v>825</v>
      </c>
      <c r="AG114" s="82" t="s">
        <v>810</v>
      </c>
      <c r="AH114" s="82" t="s">
        <v>826</v>
      </c>
      <c r="AI114" s="36" t="s">
        <v>811</v>
      </c>
      <c r="AJ114" s="96" t="s">
        <v>812</v>
      </c>
      <c r="AK114" s="36" t="s">
        <v>827</v>
      </c>
    </row>
    <row r="115" spans="1:37" ht="71.25">
      <c r="A115" s="36">
        <v>114</v>
      </c>
      <c r="B115" s="36"/>
      <c r="C115" s="77" t="s">
        <v>378</v>
      </c>
      <c r="D115" s="36" t="s">
        <v>164</v>
      </c>
      <c r="E115" s="36" t="s">
        <v>58</v>
      </c>
      <c r="F115" s="36" t="s">
        <v>39</v>
      </c>
      <c r="G115" s="36" t="s">
        <v>40</v>
      </c>
      <c r="H115" s="36" t="s">
        <v>41</v>
      </c>
      <c r="I115" s="36"/>
      <c r="J115" s="36"/>
      <c r="K115" s="36"/>
      <c r="L115" s="36"/>
      <c r="M115" s="88" t="s">
        <v>451</v>
      </c>
      <c r="N115" s="36" t="s">
        <v>244</v>
      </c>
      <c r="O115" s="36" t="s">
        <v>798</v>
      </c>
      <c r="P115" s="36" t="s">
        <v>798</v>
      </c>
      <c r="Q115" s="36" t="s">
        <v>803</v>
      </c>
      <c r="R115" s="36"/>
      <c r="S115" s="36" t="s">
        <v>204</v>
      </c>
      <c r="T115" s="36" t="s">
        <v>48</v>
      </c>
      <c r="U115" s="36" t="s">
        <v>49</v>
      </c>
      <c r="V115" s="36" t="s">
        <v>50</v>
      </c>
      <c r="W115" s="36" t="s">
        <v>51</v>
      </c>
      <c r="X115" s="36" t="s">
        <v>828</v>
      </c>
      <c r="Y115" s="82" t="s">
        <v>829</v>
      </c>
      <c r="Z115" s="36" t="s">
        <v>116</v>
      </c>
      <c r="AA115" s="36" t="s">
        <v>55</v>
      </c>
      <c r="AB115" s="36" t="s">
        <v>830</v>
      </c>
      <c r="AC115" s="36" t="s">
        <v>831</v>
      </c>
      <c r="AD115" s="36"/>
      <c r="AE115" s="36" t="s">
        <v>832</v>
      </c>
      <c r="AF115" s="83"/>
      <c r="AG115" s="82" t="s">
        <v>833</v>
      </c>
      <c r="AH115" s="97"/>
      <c r="AI115" s="36"/>
      <c r="AK115" s="36"/>
    </row>
    <row r="116" spans="1:37" ht="57.75">
      <c r="A116" s="24">
        <v>115</v>
      </c>
      <c r="B116" s="24"/>
      <c r="C116" s="25" t="s">
        <v>834</v>
      </c>
      <c r="D116" s="24" t="s">
        <v>458</v>
      </c>
      <c r="E116" s="24" t="s">
        <v>329</v>
      </c>
      <c r="F116" s="24" t="s">
        <v>236</v>
      </c>
      <c r="G116" s="24" t="s">
        <v>268</v>
      </c>
      <c r="H116" s="24" t="s">
        <v>41</v>
      </c>
      <c r="I116" s="24"/>
      <c r="J116" s="24"/>
      <c r="K116" s="24"/>
      <c r="L116" s="24"/>
      <c r="M116" s="24" t="s">
        <v>459</v>
      </c>
      <c r="N116" s="24" t="s">
        <v>174</v>
      </c>
      <c r="O116" s="24" t="s">
        <v>835</v>
      </c>
      <c r="P116" s="24" t="s">
        <v>835</v>
      </c>
      <c r="Q116" s="24" t="s">
        <v>836</v>
      </c>
      <c r="R116" s="24"/>
      <c r="S116" s="29" t="s">
        <v>176</v>
      </c>
      <c r="T116" s="24" t="s">
        <v>286</v>
      </c>
      <c r="U116" s="24" t="s">
        <v>229</v>
      </c>
      <c r="V116" s="30" t="s">
        <v>837</v>
      </c>
      <c r="W116" s="30" t="s">
        <v>838</v>
      </c>
      <c r="X116" s="31" t="s">
        <v>839</v>
      </c>
      <c r="Y116" s="32" t="s">
        <v>840</v>
      </c>
      <c r="Z116" s="24" t="s">
        <v>85</v>
      </c>
      <c r="AA116" s="24" t="s">
        <v>55</v>
      </c>
      <c r="AB116" s="29" t="s">
        <v>768</v>
      </c>
      <c r="AC116" s="24" t="s">
        <v>841</v>
      </c>
      <c r="AD116" s="24" t="s">
        <v>842</v>
      </c>
      <c r="AE116" s="24" t="s">
        <v>843</v>
      </c>
      <c r="AF116" s="24" t="s">
        <v>844</v>
      </c>
      <c r="AG116" s="33"/>
      <c r="AH116" s="33"/>
      <c r="AI116" s="24"/>
      <c r="AJ116" s="34"/>
      <c r="AK116" s="24"/>
    </row>
    <row r="117" spans="1:37" ht="42.75">
      <c r="A117" s="36">
        <v>116</v>
      </c>
      <c r="B117" s="36"/>
      <c r="C117" s="77" t="s">
        <v>845</v>
      </c>
      <c r="D117" s="36" t="s">
        <v>226</v>
      </c>
      <c r="E117" s="36" t="s">
        <v>613</v>
      </c>
      <c r="F117" s="36" t="s">
        <v>228</v>
      </c>
      <c r="G117" s="36" t="s">
        <v>688</v>
      </c>
      <c r="H117" s="36" t="s">
        <v>41</v>
      </c>
      <c r="I117" s="36"/>
      <c r="J117" s="36"/>
      <c r="K117" s="36"/>
      <c r="L117" s="36"/>
      <c r="M117" s="36" t="s">
        <v>459</v>
      </c>
      <c r="N117" s="36" t="s">
        <v>174</v>
      </c>
      <c r="O117" s="36" t="s">
        <v>271</v>
      </c>
      <c r="P117" s="36" t="s">
        <v>271</v>
      </c>
      <c r="Q117" s="36" t="s">
        <v>836</v>
      </c>
      <c r="R117" s="36"/>
      <c r="S117" s="85" t="s">
        <v>176</v>
      </c>
      <c r="T117" s="36" t="s">
        <v>286</v>
      </c>
      <c r="U117" s="36" t="s">
        <v>229</v>
      </c>
      <c r="V117" s="92" t="s">
        <v>846</v>
      </c>
      <c r="W117" s="92" t="s">
        <v>847</v>
      </c>
      <c r="X117" s="85" t="s">
        <v>848</v>
      </c>
      <c r="Y117" s="82" t="s">
        <v>849</v>
      </c>
      <c r="Z117" s="36" t="s">
        <v>116</v>
      </c>
      <c r="AA117" s="36" t="s">
        <v>55</v>
      </c>
      <c r="AB117" s="85" t="s">
        <v>735</v>
      </c>
      <c r="AC117" s="36" t="s">
        <v>753</v>
      </c>
      <c r="AD117" s="36"/>
      <c r="AE117" s="24" t="s">
        <v>850</v>
      </c>
      <c r="AF117" s="36" t="s">
        <v>851</v>
      </c>
      <c r="AG117" s="97"/>
      <c r="AH117" s="97"/>
      <c r="AI117" s="36"/>
      <c r="AK117" s="36"/>
    </row>
    <row r="118" spans="1:37" ht="57">
      <c r="A118" s="36">
        <v>117</v>
      </c>
      <c r="B118" s="36"/>
      <c r="C118" s="77" t="s">
        <v>845</v>
      </c>
      <c r="D118" s="36" t="s">
        <v>688</v>
      </c>
      <c r="E118" s="24" t="s">
        <v>437</v>
      </c>
      <c r="F118" s="36" t="s">
        <v>228</v>
      </c>
      <c r="G118" s="36" t="s">
        <v>581</v>
      </c>
      <c r="H118" s="36" t="s">
        <v>41</v>
      </c>
      <c r="I118" s="36"/>
      <c r="J118" s="36"/>
      <c r="K118" s="36"/>
      <c r="L118" s="36"/>
      <c r="M118" s="88" t="s">
        <v>451</v>
      </c>
      <c r="N118" s="36" t="s">
        <v>244</v>
      </c>
      <c r="O118" s="36" t="s">
        <v>271</v>
      </c>
      <c r="P118" s="36" t="s">
        <v>271</v>
      </c>
      <c r="Q118" s="36" t="s">
        <v>836</v>
      </c>
      <c r="R118" s="36"/>
      <c r="S118" s="36" t="s">
        <v>204</v>
      </c>
      <c r="T118" s="36" t="s">
        <v>48</v>
      </c>
      <c r="U118" s="36" t="s">
        <v>229</v>
      </c>
      <c r="V118" s="98" t="s">
        <v>852</v>
      </c>
      <c r="W118" s="98" t="s">
        <v>853</v>
      </c>
      <c r="X118" s="36" t="s">
        <v>854</v>
      </c>
      <c r="Y118" s="82" t="s">
        <v>855</v>
      </c>
      <c r="Z118" s="36" t="s">
        <v>116</v>
      </c>
      <c r="AA118" s="36" t="s">
        <v>55</v>
      </c>
      <c r="AB118" s="85" t="s">
        <v>735</v>
      </c>
      <c r="AC118" s="36" t="s">
        <v>856</v>
      </c>
      <c r="AD118" s="36"/>
      <c r="AE118" s="36" t="s">
        <v>857</v>
      </c>
      <c r="AF118" s="36" t="s">
        <v>858</v>
      </c>
      <c r="AG118" s="97"/>
      <c r="AH118" s="97"/>
      <c r="AI118" s="36"/>
      <c r="AK118" s="36"/>
    </row>
    <row r="119" spans="1:37" ht="42.75">
      <c r="A119" s="24">
        <v>118</v>
      </c>
      <c r="B119" s="36"/>
      <c r="C119" s="77" t="s">
        <v>845</v>
      </c>
      <c r="D119" s="36" t="s">
        <v>236</v>
      </c>
      <c r="E119" s="36" t="s">
        <v>859</v>
      </c>
      <c r="F119" s="36" t="s">
        <v>119</v>
      </c>
      <c r="G119" s="36" t="s">
        <v>37</v>
      </c>
      <c r="H119" s="36" t="s">
        <v>41</v>
      </c>
      <c r="I119" s="36"/>
      <c r="J119" s="36"/>
      <c r="K119" s="36"/>
      <c r="L119" s="36"/>
      <c r="M119" s="88" t="s">
        <v>451</v>
      </c>
      <c r="N119" s="36" t="s">
        <v>244</v>
      </c>
      <c r="O119" s="36" t="s">
        <v>62</v>
      </c>
      <c r="P119" s="36" t="s">
        <v>62</v>
      </c>
      <c r="Q119" s="36" t="s">
        <v>836</v>
      </c>
      <c r="R119" s="36"/>
      <c r="S119" s="36" t="s">
        <v>204</v>
      </c>
      <c r="T119" s="36" t="s">
        <v>48</v>
      </c>
      <c r="U119" s="36" t="s">
        <v>64</v>
      </c>
      <c r="V119" s="98" t="s">
        <v>860</v>
      </c>
      <c r="W119" s="58" t="s">
        <v>861</v>
      </c>
      <c r="X119" s="36" t="s">
        <v>862</v>
      </c>
      <c r="Y119" s="82" t="s">
        <v>863</v>
      </c>
      <c r="Z119" s="36" t="s">
        <v>116</v>
      </c>
      <c r="AA119" s="36" t="s">
        <v>55</v>
      </c>
      <c r="AB119" s="36" t="s">
        <v>864</v>
      </c>
      <c r="AC119" s="36" t="s">
        <v>753</v>
      </c>
      <c r="AD119" s="36"/>
      <c r="AE119" s="36"/>
      <c r="AF119" s="36" t="s">
        <v>865</v>
      </c>
      <c r="AG119" s="97"/>
      <c r="AH119" s="97"/>
      <c r="AI119" s="36"/>
      <c r="AK119" s="36"/>
    </row>
    <row r="120" spans="1:37" ht="57">
      <c r="A120" s="36">
        <v>119</v>
      </c>
      <c r="B120" s="36"/>
      <c r="C120" s="77" t="s">
        <v>834</v>
      </c>
      <c r="D120" s="36" t="s">
        <v>398</v>
      </c>
      <c r="E120" s="36" t="s">
        <v>613</v>
      </c>
      <c r="F120" s="36" t="s">
        <v>89</v>
      </c>
      <c r="G120" s="36" t="s">
        <v>38</v>
      </c>
      <c r="H120" s="36" t="s">
        <v>41</v>
      </c>
      <c r="I120" s="36"/>
      <c r="J120" s="36"/>
      <c r="K120" s="36"/>
      <c r="L120" s="36"/>
      <c r="M120" s="36" t="s">
        <v>459</v>
      </c>
      <c r="N120" s="36" t="s">
        <v>244</v>
      </c>
      <c r="O120" s="36" t="s">
        <v>62</v>
      </c>
      <c r="P120" s="36" t="s">
        <v>62</v>
      </c>
      <c r="Q120" s="36" t="s">
        <v>836</v>
      </c>
      <c r="R120" s="36"/>
      <c r="S120" s="36" t="s">
        <v>204</v>
      </c>
      <c r="T120" s="36" t="s">
        <v>286</v>
      </c>
      <c r="U120" s="36" t="s">
        <v>213</v>
      </c>
      <c r="V120" s="86" t="s">
        <v>866</v>
      </c>
      <c r="W120" s="86" t="s">
        <v>221</v>
      </c>
      <c r="X120" s="36" t="s">
        <v>867</v>
      </c>
      <c r="Y120" s="82" t="s">
        <v>868</v>
      </c>
      <c r="Z120" s="36" t="s">
        <v>116</v>
      </c>
      <c r="AA120" s="36" t="s">
        <v>55</v>
      </c>
      <c r="AB120" s="36" t="s">
        <v>808</v>
      </c>
      <c r="AC120" s="36" t="s">
        <v>869</v>
      </c>
      <c r="AD120" s="36"/>
      <c r="AE120" s="36" t="s">
        <v>870</v>
      </c>
      <c r="AF120" s="36" t="s">
        <v>871</v>
      </c>
      <c r="AG120" s="97"/>
      <c r="AH120" s="97"/>
      <c r="AI120" s="36"/>
      <c r="AK120" s="36"/>
    </row>
    <row r="121" spans="1:37" ht="42.75">
      <c r="A121" s="36">
        <v>120</v>
      </c>
      <c r="B121" s="36"/>
      <c r="C121" s="77" t="s">
        <v>845</v>
      </c>
      <c r="D121" s="36" t="s">
        <v>73</v>
      </c>
      <c r="E121" s="36" t="s">
        <v>138</v>
      </c>
      <c r="F121" s="36" t="s">
        <v>688</v>
      </c>
      <c r="G121" s="36" t="s">
        <v>75</v>
      </c>
      <c r="H121" s="36" t="s">
        <v>41</v>
      </c>
      <c r="I121" s="36"/>
      <c r="J121" s="36"/>
      <c r="K121" s="36"/>
      <c r="L121" s="36"/>
      <c r="M121" s="88" t="s">
        <v>451</v>
      </c>
      <c r="N121" s="36" t="s">
        <v>244</v>
      </c>
      <c r="O121" s="36" t="s">
        <v>872</v>
      </c>
      <c r="P121" s="36" t="s">
        <v>872</v>
      </c>
      <c r="Q121" s="36" t="s">
        <v>836</v>
      </c>
      <c r="R121" s="36"/>
      <c r="S121" s="36" t="s">
        <v>204</v>
      </c>
      <c r="T121" s="36" t="s">
        <v>48</v>
      </c>
      <c r="U121" s="36" t="s">
        <v>80</v>
      </c>
      <c r="V121" s="36" t="s">
        <v>330</v>
      </c>
      <c r="W121" s="36" t="s">
        <v>331</v>
      </c>
      <c r="X121" s="36" t="s">
        <v>873</v>
      </c>
      <c r="Y121" s="82" t="s">
        <v>874</v>
      </c>
      <c r="Z121" s="36" t="s">
        <v>116</v>
      </c>
      <c r="AA121" s="36" t="s">
        <v>55</v>
      </c>
      <c r="AB121" s="36" t="s">
        <v>875</v>
      </c>
      <c r="AC121" s="36" t="s">
        <v>876</v>
      </c>
      <c r="AD121" s="36"/>
      <c r="AE121" s="36"/>
      <c r="AF121" s="36" t="s">
        <v>877</v>
      </c>
      <c r="AG121" s="97"/>
      <c r="AH121" s="97"/>
      <c r="AI121" s="36"/>
      <c r="AK121" s="36"/>
    </row>
    <row r="122" spans="1:37" ht="57">
      <c r="A122" s="36">
        <v>121</v>
      </c>
      <c r="B122" s="36"/>
      <c r="C122" s="77" t="s">
        <v>834</v>
      </c>
      <c r="D122" s="36" t="s">
        <v>227</v>
      </c>
      <c r="E122" s="36" t="s">
        <v>40</v>
      </c>
      <c r="F122" s="36" t="s">
        <v>119</v>
      </c>
      <c r="G122" s="36" t="s">
        <v>108</v>
      </c>
      <c r="H122" s="36" t="s">
        <v>41</v>
      </c>
      <c r="I122" s="36"/>
      <c r="J122" s="36"/>
      <c r="K122" s="36"/>
      <c r="L122" s="36"/>
      <c r="M122" s="88" t="s">
        <v>451</v>
      </c>
      <c r="N122" s="36" t="s">
        <v>244</v>
      </c>
      <c r="O122" s="36" t="s">
        <v>798</v>
      </c>
      <c r="P122" s="36" t="s">
        <v>798</v>
      </c>
      <c r="Q122" s="36" t="s">
        <v>878</v>
      </c>
      <c r="R122" s="36"/>
      <c r="S122" s="36" t="s">
        <v>204</v>
      </c>
      <c r="T122" s="36" t="s">
        <v>48</v>
      </c>
      <c r="U122" s="36" t="s">
        <v>146</v>
      </c>
      <c r="V122" s="36" t="s">
        <v>317</v>
      </c>
      <c r="W122" s="36" t="s">
        <v>318</v>
      </c>
      <c r="X122" s="36" t="s">
        <v>879</v>
      </c>
      <c r="Y122" s="82" t="s">
        <v>880</v>
      </c>
      <c r="Z122" s="36" t="s">
        <v>116</v>
      </c>
      <c r="AA122" s="36" t="s">
        <v>55</v>
      </c>
      <c r="AB122" s="36" t="s">
        <v>881</v>
      </c>
      <c r="AC122" s="36" t="s">
        <v>882</v>
      </c>
      <c r="AD122" s="36"/>
      <c r="AE122" s="36" t="s">
        <v>883</v>
      </c>
      <c r="AF122" s="36" t="s">
        <v>884</v>
      </c>
      <c r="AG122" s="83"/>
      <c r="AH122" s="83"/>
      <c r="AI122" s="36"/>
      <c r="AK122" s="36"/>
    </row>
    <row r="123" spans="1:37" ht="42.75">
      <c r="A123" s="36">
        <v>122</v>
      </c>
      <c r="B123" s="36"/>
      <c r="C123" s="77" t="s">
        <v>834</v>
      </c>
      <c r="D123" s="36" t="s">
        <v>613</v>
      </c>
      <c r="E123" s="36" t="s">
        <v>218</v>
      </c>
      <c r="F123" s="36" t="s">
        <v>688</v>
      </c>
      <c r="G123" s="36" t="s">
        <v>98</v>
      </c>
      <c r="H123" s="36" t="s">
        <v>41</v>
      </c>
      <c r="I123" s="36"/>
      <c r="J123" s="36"/>
      <c r="K123" s="36"/>
      <c r="L123" s="36"/>
      <c r="M123" s="36" t="s">
        <v>459</v>
      </c>
      <c r="N123" s="36" t="s">
        <v>174</v>
      </c>
      <c r="O123" s="36" t="s">
        <v>271</v>
      </c>
      <c r="P123" s="36" t="s">
        <v>271</v>
      </c>
      <c r="Q123" s="36" t="s">
        <v>878</v>
      </c>
      <c r="R123" s="36"/>
      <c r="S123" s="85" t="s">
        <v>176</v>
      </c>
      <c r="T123" s="36" t="s">
        <v>286</v>
      </c>
      <c r="U123" s="36" t="s">
        <v>80</v>
      </c>
      <c r="V123" s="92" t="s">
        <v>885</v>
      </c>
      <c r="W123" s="92" t="s">
        <v>886</v>
      </c>
      <c r="X123" s="85" t="s">
        <v>887</v>
      </c>
      <c r="Y123" s="82" t="s">
        <v>888</v>
      </c>
      <c r="Z123" s="36" t="s">
        <v>116</v>
      </c>
      <c r="AA123" s="36" t="s">
        <v>55</v>
      </c>
      <c r="AB123" s="36" t="s">
        <v>889</v>
      </c>
      <c r="AC123" s="36" t="s">
        <v>890</v>
      </c>
      <c r="AD123" s="36"/>
      <c r="AE123" s="36"/>
      <c r="AF123" s="36" t="s">
        <v>884</v>
      </c>
      <c r="AG123" s="83"/>
      <c r="AH123" s="83"/>
      <c r="AI123" s="36"/>
      <c r="AK123" s="36"/>
    </row>
    <row r="124" spans="1:37" s="22" customFormat="1" ht="57">
      <c r="A124" s="26">
        <v>123</v>
      </c>
      <c r="B124" s="26"/>
      <c r="C124" s="99" t="s">
        <v>834</v>
      </c>
      <c r="D124" s="26" t="s">
        <v>348</v>
      </c>
      <c r="E124" s="26" t="s">
        <v>545</v>
      </c>
      <c r="F124" s="26" t="s">
        <v>37</v>
      </c>
      <c r="G124" s="26" t="s">
        <v>458</v>
      </c>
      <c r="H124" s="26" t="s">
        <v>41</v>
      </c>
      <c r="I124" s="26"/>
      <c r="J124" s="26"/>
      <c r="K124" s="26"/>
      <c r="L124" s="26"/>
      <c r="M124" s="100" t="s">
        <v>451</v>
      </c>
      <c r="N124" s="26" t="s">
        <v>174</v>
      </c>
      <c r="O124" s="26" t="s">
        <v>271</v>
      </c>
      <c r="P124" s="26" t="s">
        <v>271</v>
      </c>
      <c r="Q124" s="26" t="s">
        <v>878</v>
      </c>
      <c r="R124" s="26"/>
      <c r="S124" s="101" t="s">
        <v>176</v>
      </c>
      <c r="T124" s="26" t="s">
        <v>48</v>
      </c>
      <c r="U124" s="26" t="s">
        <v>64</v>
      </c>
      <c r="V124" s="26" t="s">
        <v>891</v>
      </c>
      <c r="W124" s="26" t="s">
        <v>892</v>
      </c>
      <c r="X124" s="101" t="s">
        <v>893</v>
      </c>
      <c r="Y124" s="102" t="s">
        <v>937</v>
      </c>
      <c r="Z124" s="26" t="s">
        <v>116</v>
      </c>
      <c r="AA124" s="26" t="s">
        <v>55</v>
      </c>
      <c r="AB124" s="26" t="s">
        <v>894</v>
      </c>
      <c r="AC124" s="26"/>
      <c r="AD124" s="26"/>
      <c r="AE124" s="26" t="s">
        <v>895</v>
      </c>
      <c r="AF124" s="26" t="s">
        <v>884</v>
      </c>
      <c r="AG124" s="103"/>
      <c r="AH124" s="103"/>
      <c r="AI124" s="26"/>
      <c r="AJ124" s="104"/>
      <c r="AK124" s="26"/>
    </row>
    <row r="125" spans="1:37" ht="57">
      <c r="A125" s="36">
        <v>124</v>
      </c>
      <c r="B125" s="36"/>
      <c r="C125" s="77" t="s">
        <v>834</v>
      </c>
      <c r="D125" s="36" t="s">
        <v>537</v>
      </c>
      <c r="E125" s="36" t="s">
        <v>772</v>
      </c>
      <c r="F125" s="36" t="s">
        <v>39</v>
      </c>
      <c r="G125" s="36" t="s">
        <v>40</v>
      </c>
      <c r="H125" s="36" t="s">
        <v>41</v>
      </c>
      <c r="I125" s="36"/>
      <c r="J125" s="36"/>
      <c r="K125" s="36"/>
      <c r="L125" s="36"/>
      <c r="M125" s="88" t="s">
        <v>451</v>
      </c>
      <c r="N125" s="36" t="s">
        <v>174</v>
      </c>
      <c r="O125" s="36" t="s">
        <v>798</v>
      </c>
      <c r="P125" s="36" t="s">
        <v>798</v>
      </c>
      <c r="Q125" s="36" t="s">
        <v>878</v>
      </c>
      <c r="R125" s="36"/>
      <c r="S125" s="85" t="s">
        <v>176</v>
      </c>
      <c r="T125" s="36" t="s">
        <v>48</v>
      </c>
      <c r="U125" s="36" t="s">
        <v>64</v>
      </c>
      <c r="V125" s="36" t="s">
        <v>896</v>
      </c>
      <c r="W125" s="36" t="s">
        <v>897</v>
      </c>
      <c r="X125" s="85" t="s">
        <v>898</v>
      </c>
      <c r="Y125" s="82" t="s">
        <v>899</v>
      </c>
      <c r="Z125" s="36" t="s">
        <v>85</v>
      </c>
      <c r="AA125" s="36" t="s">
        <v>55</v>
      </c>
      <c r="AB125" s="36" t="s">
        <v>894</v>
      </c>
      <c r="AC125" s="85" t="s">
        <v>900</v>
      </c>
      <c r="AD125" s="36"/>
      <c r="AE125" s="36"/>
      <c r="AF125" s="36" t="s">
        <v>884</v>
      </c>
      <c r="AG125" s="83"/>
      <c r="AH125" s="83"/>
      <c r="AI125" s="36"/>
      <c r="AK125" s="36"/>
    </row>
    <row r="126" spans="1:37" ht="57">
      <c r="A126" s="36">
        <v>125</v>
      </c>
      <c r="B126" s="36"/>
      <c r="C126" s="77" t="s">
        <v>450</v>
      </c>
      <c r="D126" s="36" t="s">
        <v>98</v>
      </c>
      <c r="E126" s="24" t="s">
        <v>437</v>
      </c>
      <c r="F126" s="36" t="s">
        <v>688</v>
      </c>
      <c r="G126" s="36" t="s">
        <v>901</v>
      </c>
      <c r="H126" s="36" t="s">
        <v>41</v>
      </c>
      <c r="I126" s="36"/>
      <c r="J126" s="36"/>
      <c r="K126" s="36"/>
      <c r="L126" s="36"/>
      <c r="M126" s="88" t="s">
        <v>451</v>
      </c>
      <c r="N126" s="36" t="s">
        <v>174</v>
      </c>
      <c r="O126" s="36" t="s">
        <v>271</v>
      </c>
      <c r="P126" s="36" t="s">
        <v>271</v>
      </c>
      <c r="Q126" s="36" t="s">
        <v>878</v>
      </c>
      <c r="R126" s="36"/>
      <c r="S126" s="85" t="s">
        <v>176</v>
      </c>
      <c r="T126" s="36" t="s">
        <v>48</v>
      </c>
      <c r="U126" s="24" t="s">
        <v>229</v>
      </c>
      <c r="V126" s="96" t="s">
        <v>902</v>
      </c>
      <c r="W126" s="96" t="s">
        <v>903</v>
      </c>
      <c r="X126" s="36" t="s">
        <v>904</v>
      </c>
      <c r="Y126" s="82" t="s">
        <v>905</v>
      </c>
      <c r="Z126" s="36" t="s">
        <v>116</v>
      </c>
      <c r="AA126" s="36" t="s">
        <v>55</v>
      </c>
      <c r="AB126" s="36" t="s">
        <v>906</v>
      </c>
      <c r="AC126" s="36" t="s">
        <v>907</v>
      </c>
      <c r="AD126" s="36"/>
      <c r="AE126" s="36"/>
      <c r="AF126" s="36" t="s">
        <v>884</v>
      </c>
      <c r="AG126" s="83"/>
      <c r="AH126" s="83"/>
      <c r="AI126" s="36"/>
      <c r="AK126" s="36"/>
    </row>
    <row r="127" spans="1:37" ht="57">
      <c r="A127" s="36">
        <v>126</v>
      </c>
      <c r="B127" s="36"/>
      <c r="C127" s="77" t="s">
        <v>450</v>
      </c>
      <c r="D127" s="36"/>
      <c r="E127" s="36" t="s">
        <v>172</v>
      </c>
      <c r="F127" s="36" t="s">
        <v>392</v>
      </c>
      <c r="G127" s="36"/>
      <c r="H127" s="36" t="s">
        <v>41</v>
      </c>
      <c r="I127" s="36" t="s">
        <v>908</v>
      </c>
      <c r="J127" s="36" t="s">
        <v>323</v>
      </c>
      <c r="K127" s="36" t="s">
        <v>514</v>
      </c>
      <c r="L127" s="36"/>
      <c r="M127" s="88" t="s">
        <v>451</v>
      </c>
      <c r="N127" s="36" t="s">
        <v>174</v>
      </c>
      <c r="O127" s="36" t="s">
        <v>271</v>
      </c>
      <c r="P127" s="36" t="s">
        <v>271</v>
      </c>
      <c r="Q127" s="36" t="s">
        <v>878</v>
      </c>
      <c r="R127" s="36"/>
      <c r="S127" s="85" t="s">
        <v>176</v>
      </c>
      <c r="T127" s="36" t="s">
        <v>48</v>
      </c>
      <c r="U127" s="36" t="s">
        <v>64</v>
      </c>
      <c r="V127" s="96" t="s">
        <v>909</v>
      </c>
      <c r="W127" s="36" t="s">
        <v>910</v>
      </c>
      <c r="X127" s="36" t="s">
        <v>911</v>
      </c>
      <c r="Y127" s="82" t="s">
        <v>912</v>
      </c>
      <c r="Z127" s="36" t="s">
        <v>116</v>
      </c>
      <c r="AA127" s="36" t="s">
        <v>55</v>
      </c>
      <c r="AB127" s="36" t="s">
        <v>913</v>
      </c>
      <c r="AC127" s="36" t="s">
        <v>914</v>
      </c>
      <c r="AD127" s="36"/>
      <c r="AE127" s="36"/>
      <c r="AF127" s="36" t="s">
        <v>884</v>
      </c>
      <c r="AG127" s="83"/>
      <c r="AH127" s="83"/>
      <c r="AI127" s="36"/>
      <c r="AK127" s="36"/>
    </row>
    <row r="128" spans="1:37" ht="57">
      <c r="A128" s="36">
        <v>127</v>
      </c>
      <c r="B128" s="36"/>
      <c r="C128" s="77" t="s">
        <v>450</v>
      </c>
      <c r="D128" s="36" t="s">
        <v>371</v>
      </c>
      <c r="E128" s="36" t="s">
        <v>226</v>
      </c>
      <c r="F128" s="36" t="s">
        <v>60</v>
      </c>
      <c r="G128" s="36"/>
      <c r="H128" s="36" t="s">
        <v>41</v>
      </c>
      <c r="I128" s="36" t="s">
        <v>915</v>
      </c>
      <c r="J128" s="36"/>
      <c r="K128" s="36" t="s">
        <v>916</v>
      </c>
      <c r="L128" s="36"/>
      <c r="M128" s="88" t="s">
        <v>451</v>
      </c>
      <c r="N128" s="36" t="s">
        <v>244</v>
      </c>
      <c r="O128" s="36" t="s">
        <v>271</v>
      </c>
      <c r="P128" s="36" t="s">
        <v>271</v>
      </c>
      <c r="Q128" s="36" t="s">
        <v>878</v>
      </c>
      <c r="R128" s="36"/>
      <c r="S128" s="36" t="s">
        <v>204</v>
      </c>
      <c r="T128" s="36" t="s">
        <v>48</v>
      </c>
      <c r="U128" s="36" t="s">
        <v>64</v>
      </c>
      <c r="V128" s="36" t="s">
        <v>917</v>
      </c>
      <c r="W128" s="36" t="s">
        <v>918</v>
      </c>
      <c r="X128" s="36" t="s">
        <v>919</v>
      </c>
      <c r="Y128" s="82" t="s">
        <v>920</v>
      </c>
      <c r="Z128" s="36" t="s">
        <v>85</v>
      </c>
      <c r="AA128" s="36" t="s">
        <v>55</v>
      </c>
      <c r="AB128" s="36" t="s">
        <v>921</v>
      </c>
      <c r="AC128" s="36" t="s">
        <v>922</v>
      </c>
      <c r="AD128" s="36"/>
      <c r="AE128" s="59" t="s">
        <v>938</v>
      </c>
      <c r="AF128" s="36" t="s">
        <v>884</v>
      </c>
      <c r="AG128" s="83"/>
      <c r="AH128" s="83"/>
      <c r="AI128" s="36"/>
      <c r="AK128" s="36"/>
    </row>
    <row r="129" spans="1:37" ht="57">
      <c r="A129" s="107">
        <v>128</v>
      </c>
      <c r="B129" s="36"/>
      <c r="C129" s="77" t="s">
        <v>450</v>
      </c>
      <c r="D129" s="36" t="s">
        <v>581</v>
      </c>
      <c r="E129" s="59" t="s">
        <v>939</v>
      </c>
      <c r="F129" s="36" t="s">
        <v>300</v>
      </c>
      <c r="G129" s="36" t="s">
        <v>90</v>
      </c>
      <c r="H129" s="36" t="s">
        <v>41</v>
      </c>
      <c r="I129" s="36"/>
      <c r="J129" s="36"/>
      <c r="K129" s="36"/>
      <c r="L129" s="36"/>
      <c r="M129" s="88" t="s">
        <v>451</v>
      </c>
      <c r="N129" s="36" t="s">
        <v>174</v>
      </c>
      <c r="O129" s="36" t="s">
        <v>62</v>
      </c>
      <c r="P129" s="36" t="s">
        <v>62</v>
      </c>
      <c r="Q129" s="59" t="s">
        <v>940</v>
      </c>
      <c r="R129" s="36"/>
      <c r="S129" s="85" t="s">
        <v>176</v>
      </c>
      <c r="T129" s="36" t="s">
        <v>48</v>
      </c>
      <c r="U129" s="36" t="s">
        <v>64</v>
      </c>
      <c r="V129" s="105" t="s">
        <v>941</v>
      </c>
      <c r="W129" s="106" t="s">
        <v>942</v>
      </c>
      <c r="X129" s="105" t="s">
        <v>943</v>
      </c>
      <c r="Y129" s="59" t="s">
        <v>963</v>
      </c>
      <c r="Z129" s="59" t="s">
        <v>116</v>
      </c>
      <c r="AA129" s="36" t="s">
        <v>55</v>
      </c>
      <c r="AB129" s="36" t="s">
        <v>894</v>
      </c>
      <c r="AC129" s="36"/>
      <c r="AD129" s="36"/>
      <c r="AE129" s="36"/>
      <c r="AF129" s="36" t="s">
        <v>884</v>
      </c>
      <c r="AG129" s="83"/>
      <c r="AH129" s="83"/>
      <c r="AI129" s="36"/>
      <c r="AK129" s="36"/>
    </row>
    <row r="130" spans="1:37" ht="71.25">
      <c r="A130" s="36">
        <v>129</v>
      </c>
      <c r="B130" s="36"/>
      <c r="C130" s="77" t="s">
        <v>450</v>
      </c>
      <c r="D130" s="36" t="s">
        <v>183</v>
      </c>
      <c r="E130" s="59" t="s">
        <v>944</v>
      </c>
      <c r="F130" s="36" t="s">
        <v>60</v>
      </c>
      <c r="G130" s="36" t="s">
        <v>40</v>
      </c>
      <c r="H130" s="36" t="s">
        <v>41</v>
      </c>
      <c r="I130" s="36"/>
      <c r="J130" s="36"/>
      <c r="K130" s="36"/>
      <c r="L130" s="36"/>
      <c r="M130" s="88" t="s">
        <v>451</v>
      </c>
      <c r="N130" s="36" t="s">
        <v>174</v>
      </c>
      <c r="O130" s="36" t="s">
        <v>62</v>
      </c>
      <c r="P130" s="36" t="s">
        <v>62</v>
      </c>
      <c r="Q130" s="59" t="s">
        <v>940</v>
      </c>
      <c r="R130" s="36"/>
      <c r="S130" s="85" t="s">
        <v>176</v>
      </c>
      <c r="T130" s="36" t="s">
        <v>48</v>
      </c>
      <c r="U130" s="59" t="s">
        <v>49</v>
      </c>
      <c r="V130" s="105" t="s">
        <v>945</v>
      </c>
      <c r="W130" s="105" t="s">
        <v>946</v>
      </c>
      <c r="X130" s="105" t="s">
        <v>947</v>
      </c>
      <c r="Y130" s="59" t="s">
        <v>964</v>
      </c>
      <c r="Z130" s="59" t="s">
        <v>116</v>
      </c>
      <c r="AA130" s="36" t="s">
        <v>55</v>
      </c>
      <c r="AB130" s="59" t="s">
        <v>948</v>
      </c>
      <c r="AC130" s="59" t="s">
        <v>949</v>
      </c>
      <c r="AD130" s="36"/>
      <c r="AE130" s="36" t="s">
        <v>967</v>
      </c>
      <c r="AF130" s="36" t="s">
        <v>884</v>
      </c>
      <c r="AG130" s="83"/>
      <c r="AH130" s="83"/>
      <c r="AI130" s="36"/>
      <c r="AK130" s="36"/>
    </row>
    <row r="131" spans="1:37" ht="57">
      <c r="A131" s="36">
        <v>130</v>
      </c>
      <c r="B131" s="36"/>
      <c r="C131" s="77" t="s">
        <v>450</v>
      </c>
      <c r="D131" s="24" t="s">
        <v>437</v>
      </c>
      <c r="E131" s="36" t="s">
        <v>936</v>
      </c>
      <c r="F131" s="36" t="s">
        <v>99</v>
      </c>
      <c r="G131" s="36" t="s">
        <v>98</v>
      </c>
      <c r="H131" s="36" t="s">
        <v>41</v>
      </c>
      <c r="I131" s="36"/>
      <c r="J131" s="36"/>
      <c r="K131" s="36"/>
      <c r="L131" s="36"/>
      <c r="M131" s="88" t="s">
        <v>451</v>
      </c>
      <c r="N131" s="36" t="s">
        <v>174</v>
      </c>
      <c r="O131" s="59" t="s">
        <v>129</v>
      </c>
      <c r="P131" s="59" t="s">
        <v>129</v>
      </c>
      <c r="Q131" s="59" t="s">
        <v>940</v>
      </c>
      <c r="R131" s="36"/>
      <c r="S131" s="85" t="s">
        <v>176</v>
      </c>
      <c r="T131" s="36" t="s">
        <v>48</v>
      </c>
      <c r="U131" s="36" t="s">
        <v>80</v>
      </c>
      <c r="V131" s="59" t="s">
        <v>950</v>
      </c>
      <c r="W131" s="59" t="s">
        <v>951</v>
      </c>
      <c r="X131" s="59" t="s">
        <v>952</v>
      </c>
      <c r="Y131" s="59" t="s">
        <v>965</v>
      </c>
      <c r="Z131" s="59" t="s">
        <v>85</v>
      </c>
      <c r="AA131" s="36" t="s">
        <v>55</v>
      </c>
      <c r="AB131" s="59" t="s">
        <v>955</v>
      </c>
      <c r="AC131" s="59" t="s">
        <v>956</v>
      </c>
      <c r="AD131" s="36"/>
      <c r="AE131" s="36"/>
      <c r="AF131" s="36" t="s">
        <v>884</v>
      </c>
      <c r="AG131" s="83"/>
      <c r="AH131" s="83"/>
      <c r="AI131" s="36"/>
      <c r="AK131" s="36"/>
    </row>
    <row r="132" spans="1:37" ht="57">
      <c r="A132" s="36">
        <v>131</v>
      </c>
      <c r="B132" s="36"/>
      <c r="C132" s="77" t="s">
        <v>450</v>
      </c>
      <c r="D132" s="36" t="s">
        <v>58</v>
      </c>
      <c r="E132" s="36" t="s">
        <v>613</v>
      </c>
      <c r="F132" s="36" t="s">
        <v>108</v>
      </c>
      <c r="G132" s="36" t="s">
        <v>89</v>
      </c>
      <c r="H132" s="36" t="s">
        <v>41</v>
      </c>
      <c r="I132" s="36"/>
      <c r="J132" s="36"/>
      <c r="K132" s="36"/>
      <c r="L132" s="36"/>
      <c r="M132" s="88" t="s">
        <v>451</v>
      </c>
      <c r="N132" s="36" t="s">
        <v>244</v>
      </c>
      <c r="O132" s="59" t="s">
        <v>953</v>
      </c>
      <c r="P132" s="59" t="s">
        <v>953</v>
      </c>
      <c r="Q132" s="59" t="s">
        <v>940</v>
      </c>
      <c r="R132" s="36"/>
      <c r="S132" s="36" t="s">
        <v>204</v>
      </c>
      <c r="T132" s="36" t="s">
        <v>48</v>
      </c>
      <c r="U132" s="59" t="s">
        <v>49</v>
      </c>
      <c r="V132" s="86" t="s">
        <v>673</v>
      </c>
      <c r="W132" s="77" t="s">
        <v>674</v>
      </c>
      <c r="X132" s="59" t="s">
        <v>954</v>
      </c>
      <c r="Y132" s="59" t="s">
        <v>966</v>
      </c>
      <c r="Z132" s="59" t="s">
        <v>116</v>
      </c>
      <c r="AA132" s="36" t="s">
        <v>55</v>
      </c>
      <c r="AB132" s="36" t="s">
        <v>894</v>
      </c>
      <c r="AC132" s="59" t="s">
        <v>957</v>
      </c>
      <c r="AD132" s="36"/>
      <c r="AE132" s="36"/>
      <c r="AF132" s="36" t="s">
        <v>884</v>
      </c>
      <c r="AG132" s="83"/>
      <c r="AH132" s="83"/>
      <c r="AI132" s="36"/>
      <c r="AK132" s="36"/>
    </row>
    <row r="133" spans="1:37" ht="57">
      <c r="A133" s="36">
        <v>132</v>
      </c>
      <c r="B133" s="36"/>
      <c r="C133" s="77" t="s">
        <v>450</v>
      </c>
      <c r="D133" s="36" t="s">
        <v>236</v>
      </c>
      <c r="E133" s="36" t="s">
        <v>98</v>
      </c>
      <c r="F133" s="36" t="s">
        <v>688</v>
      </c>
      <c r="G133" s="36" t="s">
        <v>99</v>
      </c>
      <c r="H133" s="36" t="s">
        <v>41</v>
      </c>
      <c r="I133" s="36"/>
      <c r="J133" s="36"/>
      <c r="K133" s="36"/>
      <c r="L133" s="36"/>
      <c r="M133" s="88" t="s">
        <v>451</v>
      </c>
      <c r="N133" s="36" t="s">
        <v>244</v>
      </c>
      <c r="O133" s="36" t="s">
        <v>62</v>
      </c>
      <c r="P133" s="36" t="s">
        <v>62</v>
      </c>
      <c r="Q133" s="59" t="s">
        <v>940</v>
      </c>
      <c r="R133" s="36"/>
      <c r="S133" s="36" t="s">
        <v>204</v>
      </c>
      <c r="T133" s="36" t="s">
        <v>48</v>
      </c>
      <c r="U133" s="36" t="s">
        <v>80</v>
      </c>
      <c r="V133" s="59" t="s">
        <v>101</v>
      </c>
      <c r="W133" s="59" t="s">
        <v>102</v>
      </c>
      <c r="X133" s="59" t="s">
        <v>958</v>
      </c>
      <c r="Y133" s="59" t="s">
        <v>959</v>
      </c>
      <c r="Z133" s="59" t="s">
        <v>85</v>
      </c>
      <c r="AA133" s="36" t="s">
        <v>55</v>
      </c>
      <c r="AB133" s="59" t="s">
        <v>960</v>
      </c>
      <c r="AC133" s="59" t="s">
        <v>961</v>
      </c>
      <c r="AD133" s="59" t="s">
        <v>962</v>
      </c>
      <c r="AE133" s="36"/>
      <c r="AF133" s="36" t="s">
        <v>884</v>
      </c>
      <c r="AG133" s="83"/>
      <c r="AH133" s="83"/>
      <c r="AI133" s="36"/>
      <c r="AK133" s="36"/>
    </row>
    <row r="134" spans="1:37" ht="14.25" customHeight="1">
      <c r="A134" s="36"/>
      <c r="B134" s="36"/>
      <c r="C134" s="77"/>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83"/>
      <c r="AH134" s="83"/>
      <c r="AI134" s="36"/>
      <c r="AK134" s="36"/>
    </row>
    <row r="135" spans="1:37" ht="14.25" customHeight="1">
      <c r="A135" s="36"/>
      <c r="B135" s="36"/>
      <c r="C135" s="77"/>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83"/>
      <c r="AH135" s="83"/>
      <c r="AI135" s="36"/>
      <c r="AK135" s="36"/>
    </row>
    <row r="136" spans="1:37" ht="14.25" customHeight="1">
      <c r="A136" s="36"/>
      <c r="B136" s="36"/>
      <c r="C136" s="77"/>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83"/>
      <c r="AH136" s="83"/>
      <c r="AI136" s="36"/>
      <c r="AK136" s="36"/>
    </row>
    <row r="137" spans="1:37" ht="14.25" customHeight="1">
      <c r="A137" s="36"/>
      <c r="B137" s="36"/>
      <c r="C137" s="77"/>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83"/>
      <c r="AH137" s="83"/>
      <c r="AI137" s="36"/>
      <c r="AK137" s="36"/>
    </row>
    <row r="138" spans="1:37" ht="14.25" customHeight="1">
      <c r="A138" s="36"/>
      <c r="B138" s="36"/>
      <c r="C138" s="77"/>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83"/>
      <c r="AH138" s="83"/>
      <c r="AI138" s="36"/>
      <c r="AK138" s="36"/>
    </row>
    <row r="139" spans="1:37" ht="14.25" customHeight="1">
      <c r="A139" s="36"/>
      <c r="B139" s="36"/>
      <c r="C139" s="77"/>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83"/>
      <c r="AH139" s="83"/>
      <c r="AI139" s="36"/>
      <c r="AK139" s="36"/>
    </row>
    <row r="140" spans="1:37" ht="14.25" customHeight="1">
      <c r="A140" s="36"/>
      <c r="B140" s="36"/>
      <c r="C140" s="77"/>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83"/>
      <c r="AH140" s="83"/>
      <c r="AI140" s="36"/>
      <c r="AK140" s="36"/>
    </row>
    <row r="141" spans="1:37" ht="14.25" customHeight="1">
      <c r="A141" s="36"/>
      <c r="B141" s="36"/>
      <c r="C141" s="77"/>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83"/>
      <c r="AH141" s="83"/>
      <c r="AI141" s="36"/>
      <c r="AK141" s="36"/>
    </row>
    <row r="142" spans="1:37" ht="14.25" customHeight="1">
      <c r="A142" s="36"/>
      <c r="B142" s="36"/>
      <c r="C142" s="77"/>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83"/>
      <c r="AH142" s="83"/>
      <c r="AI142" s="36"/>
      <c r="AK142" s="36"/>
    </row>
    <row r="143" spans="1:37" ht="14.25" customHeight="1">
      <c r="A143" s="36"/>
      <c r="B143" s="36"/>
      <c r="C143" s="77"/>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83"/>
      <c r="AH143" s="83"/>
      <c r="AI143" s="36"/>
      <c r="AK143" s="36"/>
    </row>
    <row r="144" spans="1:37" ht="14.25" customHeight="1">
      <c r="A144" s="36"/>
      <c r="B144" s="36"/>
      <c r="C144" s="77"/>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83"/>
      <c r="AH144" s="83"/>
      <c r="AI144" s="36"/>
      <c r="AK144" s="36"/>
    </row>
    <row r="145" spans="1:37" ht="14.25" customHeight="1">
      <c r="A145" s="36"/>
      <c r="B145" s="36"/>
      <c r="C145" s="77"/>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83"/>
      <c r="AH145" s="83"/>
      <c r="AI145" s="36"/>
      <c r="AK145" s="36"/>
    </row>
    <row r="146" spans="1:37" ht="14.25" customHeight="1">
      <c r="A146" s="36"/>
      <c r="B146" s="36"/>
      <c r="C146" s="77"/>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83"/>
      <c r="AH146" s="83"/>
      <c r="AI146" s="36"/>
      <c r="AK146" s="36"/>
    </row>
    <row r="147" spans="1:37" ht="14.25" customHeight="1">
      <c r="A147" s="36"/>
      <c r="B147" s="36"/>
      <c r="C147" s="77"/>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83"/>
      <c r="AH147" s="83"/>
      <c r="AI147" s="36"/>
      <c r="AK147" s="36"/>
    </row>
    <row r="148" spans="1:37" ht="14.25" customHeight="1">
      <c r="A148" s="36"/>
      <c r="B148" s="36"/>
      <c r="C148" s="77"/>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83"/>
      <c r="AH148" s="83"/>
      <c r="AI148" s="36"/>
      <c r="AK148" s="36"/>
    </row>
    <row r="149" spans="1:37" ht="14.25" customHeight="1">
      <c r="A149" s="36"/>
      <c r="B149" s="36"/>
      <c r="C149" s="77"/>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83"/>
      <c r="AH149" s="83"/>
      <c r="AI149" s="36"/>
      <c r="AK149" s="36"/>
    </row>
    <row r="150" spans="1:37" ht="14.25" customHeight="1">
      <c r="A150" s="36"/>
      <c r="B150" s="36"/>
      <c r="C150" s="77"/>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83"/>
      <c r="AH150" s="83"/>
      <c r="AI150" s="36"/>
      <c r="AK150" s="36"/>
    </row>
    <row r="151" spans="1:37" ht="14.25" customHeight="1">
      <c r="A151" s="36"/>
      <c r="B151" s="36"/>
      <c r="C151" s="77"/>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83"/>
      <c r="AH151" s="83"/>
      <c r="AI151" s="36"/>
      <c r="AK151" s="36"/>
    </row>
    <row r="152" spans="1:37" ht="14.25" customHeight="1">
      <c r="A152" s="36"/>
      <c r="B152" s="36"/>
      <c r="C152" s="77"/>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83"/>
      <c r="AH152" s="83"/>
      <c r="AI152" s="36"/>
      <c r="AK152" s="36"/>
    </row>
    <row r="153" spans="1:37" ht="14.25" customHeight="1">
      <c r="A153" s="36"/>
      <c r="B153" s="36"/>
      <c r="C153" s="77"/>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83"/>
      <c r="AH153" s="83"/>
      <c r="AI153" s="36"/>
      <c r="AK153" s="36"/>
    </row>
    <row r="154" spans="1:37" ht="14.25" customHeight="1">
      <c r="A154" s="36"/>
      <c r="B154" s="36"/>
      <c r="C154" s="77"/>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83"/>
      <c r="AH154" s="83"/>
      <c r="AI154" s="36"/>
      <c r="AK154" s="36"/>
    </row>
    <row r="155" spans="1:37" ht="14.25" customHeight="1">
      <c r="A155" s="36"/>
      <c r="B155" s="36"/>
      <c r="C155" s="77"/>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83"/>
      <c r="AH155" s="83"/>
      <c r="AI155" s="36"/>
      <c r="AK155" s="36"/>
    </row>
    <row r="156" spans="1:37" ht="14.25" customHeight="1">
      <c r="A156" s="36"/>
      <c r="B156" s="36"/>
      <c r="C156" s="77"/>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83"/>
      <c r="AH156" s="83"/>
      <c r="AI156" s="36"/>
      <c r="AK156" s="36"/>
    </row>
    <row r="157" spans="1:37" ht="14.25" customHeight="1">
      <c r="A157" s="36"/>
      <c r="B157" s="36"/>
      <c r="C157" s="77"/>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83"/>
      <c r="AH157" s="83"/>
      <c r="AI157" s="36"/>
      <c r="AK157" s="36"/>
    </row>
    <row r="158" spans="1:37" ht="14.25" customHeight="1">
      <c r="A158" s="36"/>
      <c r="B158" s="36"/>
      <c r="C158" s="77"/>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83"/>
      <c r="AH158" s="83"/>
      <c r="AI158" s="36"/>
      <c r="AK158" s="36"/>
    </row>
    <row r="159" spans="1:37" ht="14.25" customHeight="1">
      <c r="A159" s="36"/>
      <c r="B159" s="36"/>
      <c r="C159" s="77"/>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83"/>
      <c r="AH159" s="83"/>
      <c r="AI159" s="36"/>
      <c r="AK159" s="36"/>
    </row>
    <row r="160" spans="1:37" ht="14.25" customHeight="1">
      <c r="A160" s="36"/>
      <c r="B160" s="36"/>
      <c r="C160" s="77"/>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83"/>
      <c r="AH160" s="83"/>
      <c r="AI160" s="36"/>
      <c r="AK160" s="36"/>
    </row>
    <row r="161" spans="1:37" ht="14.25" customHeight="1">
      <c r="A161" s="36"/>
      <c r="B161" s="36"/>
      <c r="C161" s="77"/>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83"/>
      <c r="AH161" s="83"/>
      <c r="AI161" s="36"/>
      <c r="AK161" s="36"/>
    </row>
    <row r="162" spans="1:37" ht="14.25" customHeight="1">
      <c r="A162" s="36"/>
      <c r="B162" s="36"/>
      <c r="C162" s="77"/>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83"/>
      <c r="AH162" s="83"/>
      <c r="AI162" s="36"/>
      <c r="AK162" s="36"/>
    </row>
    <row r="163" spans="1:37" ht="14.25" customHeight="1">
      <c r="A163" s="36"/>
      <c r="B163" s="36"/>
      <c r="C163" s="77"/>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83"/>
      <c r="AH163" s="83"/>
      <c r="AI163" s="36"/>
      <c r="AK163" s="36"/>
    </row>
    <row r="164" spans="1:37" ht="14.25" customHeight="1">
      <c r="A164" s="36"/>
      <c r="B164" s="36"/>
      <c r="C164" s="77"/>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83"/>
      <c r="AH164" s="83"/>
      <c r="AI164" s="36"/>
      <c r="AK164" s="36"/>
    </row>
    <row r="165" spans="1:37" ht="14.25" customHeight="1">
      <c r="A165" s="36"/>
      <c r="B165" s="36"/>
      <c r="C165" s="77"/>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83"/>
      <c r="AH165" s="83"/>
      <c r="AI165" s="36"/>
      <c r="AK165" s="36"/>
    </row>
    <row r="166" spans="1:37" ht="14.25" customHeight="1">
      <c r="A166" s="36"/>
      <c r="B166" s="36"/>
      <c r="C166" s="77"/>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83"/>
      <c r="AH166" s="83"/>
      <c r="AI166" s="36"/>
      <c r="AK166" s="36"/>
    </row>
    <row r="167" spans="1:37" ht="14.25" customHeight="1">
      <c r="A167" s="36"/>
      <c r="B167" s="36"/>
      <c r="C167" s="77"/>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83"/>
      <c r="AH167" s="83"/>
      <c r="AI167" s="36"/>
      <c r="AK167" s="36"/>
    </row>
    <row r="168" spans="1:37" ht="14.25" customHeight="1">
      <c r="A168" s="36"/>
      <c r="B168" s="36"/>
      <c r="C168" s="77"/>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83"/>
      <c r="AH168" s="83"/>
      <c r="AI168" s="36"/>
      <c r="AK168" s="36"/>
    </row>
    <row r="169" spans="1:37" ht="14.25" customHeight="1">
      <c r="A169" s="36"/>
      <c r="B169" s="36"/>
      <c r="C169" s="77"/>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83"/>
      <c r="AH169" s="83"/>
      <c r="AI169" s="36"/>
      <c r="AK169" s="36"/>
    </row>
    <row r="170" spans="1:37" ht="14.25" customHeight="1">
      <c r="A170" s="36"/>
      <c r="B170" s="36"/>
      <c r="C170" s="77"/>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83"/>
      <c r="AH170" s="83"/>
      <c r="AI170" s="36"/>
      <c r="AK170" s="36"/>
    </row>
    <row r="171" spans="1:37" ht="14.25" customHeight="1">
      <c r="A171" s="36"/>
      <c r="B171" s="36"/>
      <c r="C171" s="77"/>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83"/>
      <c r="AH171" s="83"/>
      <c r="AI171" s="36"/>
      <c r="AK171" s="36"/>
    </row>
    <row r="172" spans="1:37" ht="14.25" customHeight="1">
      <c r="A172" s="36"/>
      <c r="B172" s="36"/>
      <c r="C172" s="77"/>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83"/>
      <c r="AH172" s="83"/>
      <c r="AI172" s="36"/>
      <c r="AK172" s="36"/>
    </row>
    <row r="173" spans="1:37" ht="14.25" customHeight="1">
      <c r="A173" s="36"/>
      <c r="B173" s="36"/>
      <c r="C173" s="77"/>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83"/>
      <c r="AH173" s="83"/>
      <c r="AI173" s="36"/>
      <c r="AK173" s="36"/>
    </row>
    <row r="174" spans="1:37" ht="14.25" customHeight="1">
      <c r="A174" s="36"/>
      <c r="B174" s="36"/>
      <c r="C174" s="77"/>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83"/>
      <c r="AH174" s="83"/>
      <c r="AI174" s="36"/>
      <c r="AK174" s="36"/>
    </row>
    <row r="175" spans="1:37" ht="14.25" customHeight="1">
      <c r="A175" s="36"/>
      <c r="B175" s="36"/>
      <c r="C175" s="77"/>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83"/>
      <c r="AH175" s="83"/>
      <c r="AI175" s="36"/>
      <c r="AK175" s="36"/>
    </row>
    <row r="176" spans="1:37" ht="14.25" customHeight="1">
      <c r="A176" s="36"/>
      <c r="B176" s="36"/>
      <c r="C176" s="77"/>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83"/>
      <c r="AH176" s="83"/>
      <c r="AI176" s="36"/>
      <c r="AK176" s="36"/>
    </row>
    <row r="177" spans="1:37" ht="14.25" customHeight="1">
      <c r="A177" s="36"/>
      <c r="B177" s="36"/>
      <c r="C177" s="77"/>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83"/>
      <c r="AH177" s="83"/>
      <c r="AI177" s="36"/>
      <c r="AK177" s="36"/>
    </row>
    <row r="178" spans="1:37" ht="14.25" customHeight="1">
      <c r="A178" s="36"/>
      <c r="B178" s="36"/>
      <c r="C178" s="77"/>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83"/>
      <c r="AH178" s="83"/>
      <c r="AI178" s="36"/>
      <c r="AK178" s="36"/>
    </row>
    <row r="179" spans="1:37" ht="14.25" customHeight="1">
      <c r="A179" s="36"/>
      <c r="B179" s="36"/>
      <c r="C179" s="77"/>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83"/>
      <c r="AH179" s="83"/>
      <c r="AI179" s="36"/>
      <c r="AK179" s="36"/>
    </row>
    <row r="180" spans="1:37" ht="14.25" customHeight="1">
      <c r="A180" s="36"/>
      <c r="B180" s="36"/>
      <c r="C180" s="77"/>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83"/>
      <c r="AH180" s="83"/>
      <c r="AI180" s="36"/>
      <c r="AK180" s="36"/>
    </row>
    <row r="181" spans="1:37" ht="14.25" customHeight="1">
      <c r="A181" s="36"/>
      <c r="B181" s="36"/>
      <c r="C181" s="77"/>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83"/>
      <c r="AH181" s="83"/>
      <c r="AI181" s="36"/>
      <c r="AK181" s="36"/>
    </row>
    <row r="182" spans="1:37" ht="14.25" customHeight="1">
      <c r="A182" s="36"/>
      <c r="B182" s="36"/>
      <c r="C182" s="77"/>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83"/>
      <c r="AH182" s="83"/>
      <c r="AI182" s="36"/>
      <c r="AK182" s="36"/>
    </row>
    <row r="183" spans="1:37" ht="14.25" customHeight="1">
      <c r="A183" s="36"/>
      <c r="B183" s="36"/>
      <c r="C183" s="77"/>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83"/>
      <c r="AH183" s="83"/>
      <c r="AI183" s="36"/>
      <c r="AK183" s="36"/>
    </row>
    <row r="184" spans="1:37" ht="14.25" customHeight="1">
      <c r="A184" s="36"/>
      <c r="B184" s="36"/>
      <c r="C184" s="77"/>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83"/>
      <c r="AH184" s="83"/>
      <c r="AI184" s="36"/>
      <c r="AK184" s="36"/>
    </row>
    <row r="185" spans="1:37" ht="14.25" customHeight="1">
      <c r="A185" s="36"/>
      <c r="B185" s="36"/>
      <c r="C185" s="77"/>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83"/>
      <c r="AH185" s="83"/>
      <c r="AI185" s="36"/>
      <c r="AK185" s="36"/>
    </row>
    <row r="186" spans="1:37" ht="14.25" customHeight="1">
      <c r="A186" s="36"/>
      <c r="B186" s="36"/>
      <c r="C186" s="77"/>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83"/>
      <c r="AH186" s="83"/>
      <c r="AI186" s="36"/>
      <c r="AK186" s="36"/>
    </row>
    <row r="187" spans="1:37" ht="14.25" customHeight="1">
      <c r="A187" s="36"/>
      <c r="B187" s="36"/>
      <c r="C187" s="77"/>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83"/>
      <c r="AH187" s="83"/>
      <c r="AI187" s="36"/>
      <c r="AK187" s="36"/>
    </row>
    <row r="188" spans="1:37" ht="14.25" customHeight="1">
      <c r="A188" s="36"/>
      <c r="B188" s="36"/>
      <c r="C188" s="77"/>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83"/>
      <c r="AH188" s="83"/>
      <c r="AI188" s="36"/>
      <c r="AK188" s="36"/>
    </row>
    <row r="189" spans="1:37" ht="14.25" customHeight="1">
      <c r="A189" s="36"/>
      <c r="B189" s="36"/>
      <c r="C189" s="77"/>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83"/>
      <c r="AH189" s="83"/>
      <c r="AI189" s="36"/>
      <c r="AK189" s="36"/>
    </row>
    <row r="190" spans="1:37" ht="14.25" customHeight="1">
      <c r="A190" s="36"/>
      <c r="B190" s="36"/>
      <c r="C190" s="77"/>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83"/>
      <c r="AH190" s="83"/>
      <c r="AI190" s="36"/>
      <c r="AK190" s="36"/>
    </row>
    <row r="191" spans="1:37" ht="14.25" customHeight="1">
      <c r="A191" s="36"/>
      <c r="B191" s="36"/>
      <c r="C191" s="77"/>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83"/>
      <c r="AH191" s="83"/>
      <c r="AI191" s="36"/>
      <c r="AK191" s="36"/>
    </row>
    <row r="192" spans="1:37" ht="14.25" customHeight="1">
      <c r="A192" s="36"/>
      <c r="B192" s="36"/>
      <c r="C192" s="77"/>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83"/>
      <c r="AH192" s="83"/>
      <c r="AI192" s="36"/>
      <c r="AK192" s="36"/>
    </row>
    <row r="193" spans="1:37" ht="14.25" customHeight="1">
      <c r="A193" s="36"/>
      <c r="B193" s="36"/>
      <c r="C193" s="77"/>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83"/>
      <c r="AH193" s="83"/>
      <c r="AI193" s="36"/>
      <c r="AK193" s="36"/>
    </row>
    <row r="194" spans="1:37" ht="14.25" customHeight="1">
      <c r="A194" s="36"/>
      <c r="B194" s="36"/>
      <c r="C194" s="77"/>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83"/>
      <c r="AH194" s="83"/>
      <c r="AI194" s="36"/>
      <c r="AK194" s="36"/>
    </row>
    <row r="195" spans="1:37" ht="14.25" customHeight="1">
      <c r="A195" s="36"/>
      <c r="B195" s="36"/>
      <c r="C195" s="77"/>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83"/>
      <c r="AH195" s="83"/>
      <c r="AI195" s="36"/>
      <c r="AK195" s="36"/>
    </row>
    <row r="196" spans="1:37" ht="14.25" customHeight="1">
      <c r="A196" s="36"/>
      <c r="B196" s="36"/>
      <c r="C196" s="77"/>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83"/>
      <c r="AH196" s="83"/>
      <c r="AI196" s="36"/>
      <c r="AK196" s="36"/>
    </row>
    <row r="197" spans="1:37" ht="14.25" customHeight="1">
      <c r="A197" s="36"/>
      <c r="B197" s="36"/>
      <c r="C197" s="77"/>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83"/>
      <c r="AH197" s="83"/>
      <c r="AI197" s="36"/>
      <c r="AK197" s="36"/>
    </row>
    <row r="198" spans="1:37" ht="14.25" customHeight="1">
      <c r="A198" s="36"/>
      <c r="B198" s="36"/>
      <c r="C198" s="77"/>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83"/>
      <c r="AH198" s="83"/>
      <c r="AI198" s="36"/>
      <c r="AK198" s="36"/>
    </row>
    <row r="199" spans="1:37" ht="14.25" customHeight="1">
      <c r="A199" s="36"/>
      <c r="B199" s="36"/>
      <c r="C199" s="77"/>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83"/>
      <c r="AH199" s="83"/>
      <c r="AI199" s="36"/>
      <c r="AK199" s="36"/>
    </row>
    <row r="200" spans="1:37" ht="14.25" customHeight="1">
      <c r="A200" s="36"/>
      <c r="B200" s="36"/>
      <c r="C200" s="77"/>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83"/>
      <c r="AH200" s="83"/>
      <c r="AI200" s="36"/>
      <c r="AK200" s="36"/>
    </row>
    <row r="201" spans="1:37" ht="14.25" customHeight="1">
      <c r="A201" s="36"/>
      <c r="B201" s="36"/>
      <c r="C201" s="77"/>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83"/>
      <c r="AH201" s="83"/>
      <c r="AI201" s="36"/>
      <c r="AK201" s="36"/>
    </row>
    <row r="202" spans="1:37" ht="14.25" customHeight="1">
      <c r="A202" s="36"/>
      <c r="B202" s="36"/>
      <c r="C202" s="77"/>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83"/>
      <c r="AH202" s="83"/>
      <c r="AI202" s="36"/>
      <c r="AK202" s="36"/>
    </row>
    <row r="203" spans="1:37" ht="14.25" customHeight="1">
      <c r="A203" s="36"/>
      <c r="B203" s="36"/>
      <c r="C203" s="77"/>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83"/>
      <c r="AH203" s="83"/>
      <c r="AI203" s="36"/>
      <c r="AK203" s="36"/>
    </row>
    <row r="204" spans="1:37" ht="14.25" customHeight="1">
      <c r="A204" s="36"/>
      <c r="B204" s="36"/>
      <c r="C204" s="77"/>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83"/>
      <c r="AH204" s="83"/>
      <c r="AI204" s="36"/>
      <c r="AK204" s="36"/>
    </row>
    <row r="205" spans="1:37" ht="14.25" customHeight="1">
      <c r="A205" s="36"/>
      <c r="B205" s="36"/>
      <c r="C205" s="77"/>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83"/>
      <c r="AH205" s="83"/>
      <c r="AI205" s="36"/>
      <c r="AK205" s="36"/>
    </row>
    <row r="206" spans="1:37" ht="14.25" customHeight="1">
      <c r="A206" s="36"/>
      <c r="B206" s="36"/>
      <c r="C206" s="77"/>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83"/>
      <c r="AH206" s="83"/>
      <c r="AI206" s="36"/>
      <c r="AK206" s="36"/>
    </row>
    <row r="207" spans="1:37" ht="14.25" customHeight="1">
      <c r="A207" s="36"/>
      <c r="B207" s="36"/>
      <c r="C207" s="77"/>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83"/>
      <c r="AH207" s="83"/>
      <c r="AI207" s="36"/>
      <c r="AK207" s="36"/>
    </row>
    <row r="208" spans="1:37" ht="14.25" customHeight="1">
      <c r="A208" s="36"/>
      <c r="B208" s="36"/>
      <c r="C208" s="77"/>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83"/>
      <c r="AH208" s="83"/>
      <c r="AI208" s="36"/>
      <c r="AK208" s="36"/>
    </row>
    <row r="209" spans="1:37" ht="14.25" customHeight="1">
      <c r="A209" s="36"/>
      <c r="B209" s="36"/>
      <c r="C209" s="77"/>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83"/>
      <c r="AH209" s="83"/>
      <c r="AI209" s="36"/>
      <c r="AK209" s="36"/>
    </row>
    <row r="210" spans="1:37" ht="14.25" customHeight="1">
      <c r="A210" s="36"/>
      <c r="B210" s="36"/>
      <c r="C210" s="77"/>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83"/>
      <c r="AH210" s="83"/>
      <c r="AI210" s="36"/>
      <c r="AK210" s="36"/>
    </row>
    <row r="211" spans="1:37" ht="14.25" customHeight="1">
      <c r="A211" s="36"/>
      <c r="B211" s="36"/>
      <c r="C211" s="77"/>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83"/>
      <c r="AH211" s="83"/>
      <c r="AI211" s="36"/>
      <c r="AK211" s="36"/>
    </row>
    <row r="212" spans="1:37" ht="14.25" customHeight="1">
      <c r="A212" s="36"/>
      <c r="B212" s="36"/>
      <c r="C212" s="77"/>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83"/>
      <c r="AH212" s="83"/>
      <c r="AI212" s="36"/>
      <c r="AK212" s="36"/>
    </row>
    <row r="213" spans="1:37" ht="14.25" customHeight="1">
      <c r="A213" s="36"/>
      <c r="B213" s="36"/>
      <c r="C213" s="77"/>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83"/>
      <c r="AH213" s="83"/>
      <c r="AI213" s="36"/>
      <c r="AK213" s="36"/>
    </row>
    <row r="214" spans="1:37" ht="14.25" customHeight="1">
      <c r="A214" s="36"/>
      <c r="B214" s="36"/>
      <c r="C214" s="77"/>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83"/>
      <c r="AH214" s="83"/>
      <c r="AI214" s="36"/>
      <c r="AK214" s="36"/>
    </row>
    <row r="215" spans="1:37" ht="14.25" customHeight="1">
      <c r="A215" s="36"/>
      <c r="B215" s="36"/>
      <c r="C215" s="77"/>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83"/>
      <c r="AH215" s="83"/>
      <c r="AI215" s="36"/>
      <c r="AK215" s="36"/>
    </row>
    <row r="216" spans="1:37" ht="14.25" customHeight="1">
      <c r="A216" s="36"/>
      <c r="B216" s="36"/>
      <c r="C216" s="77"/>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83"/>
      <c r="AH216" s="83"/>
      <c r="AI216" s="36"/>
      <c r="AK216" s="36"/>
    </row>
    <row r="217" spans="1:37" ht="14.25" customHeight="1">
      <c r="A217" s="36"/>
      <c r="B217" s="36"/>
      <c r="C217" s="77"/>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83"/>
      <c r="AH217" s="83"/>
      <c r="AI217" s="36"/>
      <c r="AK217" s="36"/>
    </row>
    <row r="218" spans="1:37" ht="14.25" customHeight="1">
      <c r="A218" s="36"/>
      <c r="B218" s="36"/>
      <c r="C218" s="77"/>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83"/>
      <c r="AH218" s="83"/>
      <c r="AI218" s="36"/>
      <c r="AK218" s="36"/>
    </row>
    <row r="219" spans="1:37" ht="14.25" customHeight="1">
      <c r="A219" s="36"/>
      <c r="B219" s="36"/>
      <c r="C219" s="77"/>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83"/>
      <c r="AH219" s="83"/>
      <c r="AI219" s="36"/>
      <c r="AK219" s="36"/>
    </row>
    <row r="220" spans="1:37" ht="14.25" customHeight="1">
      <c r="A220" s="36"/>
      <c r="B220" s="36"/>
      <c r="C220" s="77"/>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83"/>
      <c r="AH220" s="83"/>
      <c r="AI220" s="36"/>
      <c r="AK220" s="36"/>
    </row>
    <row r="221" spans="1:37" ht="14.25" customHeight="1">
      <c r="A221" s="36"/>
      <c r="B221" s="36"/>
      <c r="C221" s="77"/>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83"/>
      <c r="AH221" s="83"/>
      <c r="AI221" s="36"/>
      <c r="AK221" s="36"/>
    </row>
    <row r="222" spans="1:37" ht="14.25" customHeight="1">
      <c r="A222" s="36"/>
      <c r="B222" s="36"/>
      <c r="C222" s="77"/>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83"/>
      <c r="AH222" s="83"/>
      <c r="AI222" s="36"/>
      <c r="AK222" s="36"/>
    </row>
    <row r="223" spans="1:37" ht="14.25" customHeight="1">
      <c r="A223" s="36"/>
      <c r="B223" s="36"/>
      <c r="C223" s="77"/>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83"/>
      <c r="AH223" s="83"/>
      <c r="AI223" s="36"/>
      <c r="AK223" s="36"/>
    </row>
    <row r="224" spans="1:37" ht="14.25" customHeight="1">
      <c r="A224" s="36"/>
      <c r="B224" s="36"/>
      <c r="C224" s="77"/>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83"/>
      <c r="AH224" s="83"/>
      <c r="AI224" s="36"/>
      <c r="AK224" s="36"/>
    </row>
    <row r="225" spans="1:37" ht="14.25" customHeight="1">
      <c r="A225" s="36"/>
      <c r="B225" s="36"/>
      <c r="C225" s="77"/>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83"/>
      <c r="AH225" s="83"/>
      <c r="AI225" s="36"/>
      <c r="AK225" s="36"/>
    </row>
    <row r="226" spans="1:37" ht="14.25" customHeight="1">
      <c r="A226" s="36"/>
      <c r="B226" s="36"/>
      <c r="C226" s="77"/>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83"/>
      <c r="AH226" s="83"/>
      <c r="AI226" s="36"/>
      <c r="AK226" s="36"/>
    </row>
    <row r="227" spans="1:37" ht="14.25" customHeight="1">
      <c r="A227" s="36"/>
      <c r="B227" s="36"/>
      <c r="C227" s="77"/>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83"/>
      <c r="AH227" s="83"/>
      <c r="AI227" s="36"/>
      <c r="AK227" s="36"/>
    </row>
    <row r="228" spans="1:37" ht="14.25" customHeight="1">
      <c r="A228" s="36"/>
      <c r="B228" s="36"/>
      <c r="C228" s="77"/>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83"/>
      <c r="AH228" s="83"/>
      <c r="AI228" s="36"/>
      <c r="AK228" s="36"/>
    </row>
    <row r="229" spans="1:37" ht="14.25" customHeight="1">
      <c r="A229" s="36"/>
      <c r="B229" s="36"/>
      <c r="C229" s="77"/>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83"/>
      <c r="AH229" s="83"/>
      <c r="AI229" s="36"/>
      <c r="AK229" s="36"/>
    </row>
    <row r="230" spans="1:37" ht="14.25" customHeight="1">
      <c r="A230" s="36"/>
      <c r="B230" s="36"/>
      <c r="C230" s="77"/>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83"/>
      <c r="AH230" s="83"/>
      <c r="AI230" s="36"/>
      <c r="AK230" s="36"/>
    </row>
    <row r="231" spans="1:37" ht="14.25" customHeight="1">
      <c r="A231" s="36"/>
      <c r="B231" s="36"/>
      <c r="C231" s="77"/>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83"/>
      <c r="AH231" s="83"/>
      <c r="AI231" s="36"/>
      <c r="AK231" s="36"/>
    </row>
    <row r="232" spans="1:37" ht="14.25" customHeight="1">
      <c r="A232" s="36"/>
      <c r="B232" s="36"/>
      <c r="C232" s="77"/>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83"/>
      <c r="AH232" s="83"/>
      <c r="AI232" s="36"/>
      <c r="AK232" s="36"/>
    </row>
    <row r="233" spans="1:37" ht="14.25" customHeight="1">
      <c r="A233" s="36"/>
      <c r="B233" s="36"/>
      <c r="C233" s="77"/>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83"/>
      <c r="AH233" s="83"/>
      <c r="AI233" s="36"/>
      <c r="AK233" s="36"/>
    </row>
    <row r="234" spans="1:37" ht="14.25" customHeight="1">
      <c r="A234" s="36"/>
      <c r="B234" s="36"/>
      <c r="C234" s="77"/>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83"/>
      <c r="AH234" s="83"/>
      <c r="AI234" s="36"/>
      <c r="AK234" s="36"/>
    </row>
    <row r="235" spans="1:37" ht="14.25" customHeight="1">
      <c r="A235" s="36"/>
      <c r="B235" s="36"/>
      <c r="C235" s="77"/>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83"/>
      <c r="AH235" s="83"/>
      <c r="AI235" s="36"/>
      <c r="AK235" s="36"/>
    </row>
    <row r="236" spans="1:37" ht="14.25" customHeight="1">
      <c r="A236" s="36"/>
      <c r="B236" s="36"/>
      <c r="C236" s="77"/>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83"/>
      <c r="AH236" s="83"/>
      <c r="AI236" s="36"/>
      <c r="AK236" s="36"/>
    </row>
    <row r="237" spans="1:37" ht="14.25" customHeight="1">
      <c r="A237" s="36"/>
      <c r="B237" s="36"/>
      <c r="C237" s="77"/>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83"/>
      <c r="AH237" s="83"/>
      <c r="AI237" s="36"/>
      <c r="AK237" s="36"/>
    </row>
    <row r="238" spans="1:37" ht="14.25" customHeight="1">
      <c r="A238" s="36"/>
      <c r="B238" s="36"/>
      <c r="C238" s="77"/>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83"/>
      <c r="AH238" s="83"/>
      <c r="AI238" s="36"/>
      <c r="AK238" s="36"/>
    </row>
    <row r="239" spans="1:37" ht="14.25" customHeight="1">
      <c r="A239" s="36"/>
      <c r="B239" s="36"/>
      <c r="C239" s="77"/>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83"/>
      <c r="AH239" s="83"/>
      <c r="AI239" s="36"/>
      <c r="AK239" s="36"/>
    </row>
    <row r="240" spans="1:37" ht="14.25" customHeight="1">
      <c r="A240" s="36"/>
      <c r="B240" s="36"/>
      <c r="C240" s="77"/>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83"/>
      <c r="AH240" s="83"/>
      <c r="AI240" s="36"/>
      <c r="AK240" s="36"/>
    </row>
    <row r="241" spans="1:37" ht="14.25" customHeight="1">
      <c r="A241" s="36"/>
      <c r="B241" s="36"/>
      <c r="C241" s="77"/>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83"/>
      <c r="AH241" s="83"/>
      <c r="AI241" s="36"/>
      <c r="AK241" s="36"/>
    </row>
    <row r="242" spans="1:37" ht="14.25" customHeight="1">
      <c r="A242" s="36"/>
      <c r="B242" s="36"/>
      <c r="C242" s="77"/>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83"/>
      <c r="AH242" s="83"/>
      <c r="AI242" s="36"/>
      <c r="AK242" s="36"/>
    </row>
    <row r="243" spans="1:37" ht="14.25" customHeight="1">
      <c r="A243" s="36"/>
      <c r="B243" s="36"/>
      <c r="C243" s="77"/>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83"/>
      <c r="AH243" s="83"/>
      <c r="AI243" s="36"/>
      <c r="AK243" s="36"/>
    </row>
    <row r="244" spans="1:37" ht="14.25" customHeight="1">
      <c r="A244" s="36"/>
      <c r="B244" s="36"/>
      <c r="C244" s="77"/>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83"/>
      <c r="AH244" s="83"/>
      <c r="AI244" s="36"/>
      <c r="AK244" s="36"/>
    </row>
    <row r="245" spans="1:37" ht="14.25" customHeight="1">
      <c r="A245" s="36"/>
      <c r="B245" s="36"/>
      <c r="C245" s="77"/>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83"/>
      <c r="AH245" s="83"/>
      <c r="AI245" s="36"/>
      <c r="AK245" s="36"/>
    </row>
    <row r="246" spans="1:37" ht="14.25" customHeight="1">
      <c r="A246" s="36"/>
      <c r="B246" s="36"/>
      <c r="C246" s="77"/>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83"/>
      <c r="AH246" s="83"/>
      <c r="AI246" s="36"/>
      <c r="AK246" s="36"/>
    </row>
    <row r="247" spans="1:37" ht="14.25" customHeight="1">
      <c r="A247" s="36"/>
      <c r="B247" s="36"/>
      <c r="C247" s="77"/>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83"/>
      <c r="AH247" s="83"/>
      <c r="AI247" s="36"/>
      <c r="AK247" s="36"/>
    </row>
    <row r="248" spans="1:37" ht="14.25" customHeight="1">
      <c r="A248" s="36"/>
      <c r="B248" s="36"/>
      <c r="C248" s="77"/>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83"/>
      <c r="AH248" s="83"/>
      <c r="AI248" s="36"/>
      <c r="AK248" s="36"/>
    </row>
    <row r="249" spans="1:37" ht="14.25" customHeight="1">
      <c r="A249" s="36"/>
      <c r="B249" s="36"/>
      <c r="C249" s="77"/>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83"/>
      <c r="AH249" s="83"/>
      <c r="AI249" s="36"/>
      <c r="AK249" s="36"/>
    </row>
    <row r="250" spans="1:37" ht="14.25" customHeight="1">
      <c r="A250" s="36"/>
      <c r="B250" s="36"/>
      <c r="C250" s="77"/>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83"/>
      <c r="AH250" s="83"/>
      <c r="AI250" s="36"/>
      <c r="AK250" s="36"/>
    </row>
    <row r="251" spans="1:37" ht="14.25" customHeight="1">
      <c r="A251" s="36"/>
      <c r="B251" s="36"/>
      <c r="C251" s="77"/>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83"/>
      <c r="AH251" s="83"/>
      <c r="AI251" s="36"/>
      <c r="AK251" s="36"/>
    </row>
    <row r="252" spans="1:37" ht="14.25" customHeight="1">
      <c r="A252" s="36"/>
      <c r="B252" s="36"/>
      <c r="C252" s="77"/>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83"/>
      <c r="AH252" s="83"/>
      <c r="AI252" s="36"/>
      <c r="AK252" s="36"/>
    </row>
    <row r="253" spans="1:37" ht="14.25" customHeight="1">
      <c r="A253" s="36"/>
      <c r="B253" s="36"/>
      <c r="C253" s="77"/>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83"/>
      <c r="AH253" s="83"/>
      <c r="AI253" s="36"/>
      <c r="AK253" s="36"/>
    </row>
    <row r="254" spans="1:37" ht="14.25" customHeight="1">
      <c r="A254" s="36"/>
      <c r="B254" s="36"/>
      <c r="C254" s="77"/>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83"/>
      <c r="AH254" s="83"/>
      <c r="AI254" s="36"/>
      <c r="AK254" s="36"/>
    </row>
    <row r="255" spans="1:37" ht="14.25" customHeight="1">
      <c r="A255" s="36"/>
      <c r="B255" s="36"/>
      <c r="C255" s="77"/>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83"/>
      <c r="AH255" s="83"/>
      <c r="AI255" s="36"/>
      <c r="AK255" s="36"/>
    </row>
    <row r="256" spans="1:37" ht="14.25" customHeight="1">
      <c r="A256" s="36"/>
      <c r="B256" s="36"/>
      <c r="C256" s="77"/>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83"/>
      <c r="AH256" s="83"/>
      <c r="AI256" s="36"/>
      <c r="AK256" s="36"/>
    </row>
    <row r="257" spans="1:37" ht="14.25" customHeight="1">
      <c r="A257" s="36"/>
      <c r="B257" s="36"/>
      <c r="C257" s="77"/>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83"/>
      <c r="AH257" s="83"/>
      <c r="AI257" s="36"/>
      <c r="AK257" s="36"/>
    </row>
    <row r="258" spans="1:37" ht="14.25" customHeight="1">
      <c r="A258" s="36"/>
      <c r="B258" s="36"/>
      <c r="C258" s="77"/>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83"/>
      <c r="AH258" s="83"/>
      <c r="AI258" s="36"/>
      <c r="AK258" s="36"/>
    </row>
    <row r="259" spans="1:37" ht="14.25" customHeight="1">
      <c r="A259" s="36"/>
      <c r="B259" s="36"/>
      <c r="C259" s="77"/>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83"/>
      <c r="AH259" s="83"/>
      <c r="AI259" s="36"/>
      <c r="AK259" s="36"/>
    </row>
    <row r="260" spans="1:37" ht="14.25" customHeight="1">
      <c r="A260" s="36"/>
      <c r="B260" s="36"/>
      <c r="C260" s="77"/>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83"/>
      <c r="AH260" s="83"/>
      <c r="AI260" s="36"/>
      <c r="AK260" s="36"/>
    </row>
    <row r="261" spans="1:37" ht="14.25" customHeight="1">
      <c r="A261" s="36"/>
      <c r="B261" s="36"/>
      <c r="C261" s="77"/>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83"/>
      <c r="AH261" s="83"/>
      <c r="AI261" s="36"/>
      <c r="AK261" s="36"/>
    </row>
    <row r="262" spans="1:37" ht="14.25" customHeight="1">
      <c r="A262" s="36"/>
      <c r="B262" s="36"/>
      <c r="C262" s="77"/>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83"/>
      <c r="AH262" s="83"/>
      <c r="AI262" s="36"/>
      <c r="AK262" s="36"/>
    </row>
    <row r="263" spans="1:37" ht="14.25" customHeight="1">
      <c r="A263" s="36"/>
      <c r="B263" s="36"/>
      <c r="C263" s="77"/>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83"/>
      <c r="AH263" s="83"/>
      <c r="AI263" s="36"/>
      <c r="AK263" s="36"/>
    </row>
    <row r="264" spans="1:37" ht="14.25" customHeight="1">
      <c r="A264" s="36"/>
      <c r="B264" s="36"/>
      <c r="C264" s="77"/>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83"/>
      <c r="AH264" s="83"/>
      <c r="AI264" s="36"/>
      <c r="AK264" s="36"/>
    </row>
    <row r="265" spans="1:37" ht="14.25" customHeight="1">
      <c r="A265" s="36"/>
      <c r="B265" s="36"/>
      <c r="C265" s="77"/>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83"/>
      <c r="AH265" s="83"/>
      <c r="AI265" s="36"/>
      <c r="AK265" s="36"/>
    </row>
    <row r="266" spans="1:37" ht="14.25" customHeight="1">
      <c r="A266" s="36"/>
      <c r="B266" s="36"/>
      <c r="C266" s="77"/>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83"/>
      <c r="AH266" s="83"/>
      <c r="AI266" s="36"/>
      <c r="AK266" s="36"/>
    </row>
    <row r="267" spans="1:37" ht="14.25" customHeight="1">
      <c r="A267" s="36"/>
      <c r="B267" s="36"/>
      <c r="C267" s="77"/>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83"/>
      <c r="AH267" s="83"/>
      <c r="AI267" s="36"/>
      <c r="AK267" s="36"/>
    </row>
    <row r="268" spans="1:37" ht="14.25" customHeight="1">
      <c r="A268" s="36"/>
      <c r="B268" s="36"/>
      <c r="C268" s="77"/>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83"/>
      <c r="AH268" s="83"/>
      <c r="AI268" s="36"/>
      <c r="AK268" s="36"/>
    </row>
    <row r="269" spans="1:37" ht="14.25" customHeight="1">
      <c r="A269" s="36"/>
      <c r="B269" s="36"/>
      <c r="C269" s="77"/>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83"/>
      <c r="AH269" s="83"/>
      <c r="AI269" s="36"/>
      <c r="AK269" s="36"/>
    </row>
    <row r="270" spans="1:37" ht="14.25" customHeight="1">
      <c r="A270" s="36"/>
      <c r="B270" s="36"/>
      <c r="C270" s="77"/>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83"/>
      <c r="AH270" s="83"/>
      <c r="AI270" s="36"/>
      <c r="AK270" s="36"/>
    </row>
    <row r="271" spans="1:37" ht="14.25" customHeight="1">
      <c r="A271" s="36"/>
      <c r="B271" s="36"/>
      <c r="C271" s="77"/>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83"/>
      <c r="AH271" s="83"/>
      <c r="AI271" s="36"/>
      <c r="AK271" s="36"/>
    </row>
    <row r="272" spans="1:37" ht="14.25" customHeight="1">
      <c r="A272" s="36"/>
      <c r="B272" s="36"/>
      <c r="C272" s="77"/>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83"/>
      <c r="AH272" s="83"/>
      <c r="AI272" s="36"/>
      <c r="AK272" s="36"/>
    </row>
    <row r="273" spans="1:37" ht="14.25" customHeight="1">
      <c r="A273" s="36"/>
      <c r="B273" s="36"/>
      <c r="C273" s="77"/>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83"/>
      <c r="AH273" s="83"/>
      <c r="AI273" s="36"/>
      <c r="AK273" s="36"/>
    </row>
    <row r="274" spans="1:37" ht="14.25" customHeight="1">
      <c r="A274" s="36"/>
      <c r="B274" s="36"/>
      <c r="C274" s="77"/>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83"/>
      <c r="AH274" s="83"/>
      <c r="AI274" s="36"/>
      <c r="AK274" s="36"/>
    </row>
    <row r="275" spans="1:37" ht="14.25" customHeight="1">
      <c r="A275" s="36"/>
      <c r="B275" s="36"/>
      <c r="C275" s="77"/>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83"/>
      <c r="AH275" s="83"/>
      <c r="AI275" s="36"/>
      <c r="AK275" s="36"/>
    </row>
    <row r="276" spans="1:37" ht="14.25" customHeight="1">
      <c r="A276" s="36"/>
      <c r="B276" s="36"/>
      <c r="C276" s="77"/>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83"/>
      <c r="AH276" s="83"/>
      <c r="AI276" s="36"/>
      <c r="AK276" s="36"/>
    </row>
    <row r="277" spans="1:37" ht="14.25" customHeight="1">
      <c r="A277" s="36"/>
      <c r="B277" s="36"/>
      <c r="C277" s="77"/>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83"/>
      <c r="AH277" s="83"/>
      <c r="AI277" s="36"/>
      <c r="AK277" s="36"/>
    </row>
    <row r="278" spans="1:37" ht="14.25" customHeight="1">
      <c r="A278" s="36"/>
      <c r="B278" s="36"/>
      <c r="C278" s="77"/>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83"/>
      <c r="AH278" s="83"/>
      <c r="AI278" s="36"/>
      <c r="AK278" s="36"/>
    </row>
    <row r="279" spans="1:37" ht="14.25" customHeight="1">
      <c r="A279" s="36"/>
      <c r="B279" s="36"/>
      <c r="C279" s="77"/>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83"/>
      <c r="AH279" s="83"/>
      <c r="AI279" s="36"/>
      <c r="AK279" s="36"/>
    </row>
    <row r="280" spans="1:37" ht="14.25" customHeight="1">
      <c r="A280" s="36"/>
      <c r="B280" s="36"/>
      <c r="C280" s="77"/>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83"/>
      <c r="AH280" s="83"/>
      <c r="AI280" s="36"/>
      <c r="AK280" s="36"/>
    </row>
    <row r="281" spans="1:37" ht="14.25" customHeight="1">
      <c r="A281" s="36"/>
      <c r="B281" s="36"/>
      <c r="C281" s="77"/>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83"/>
      <c r="AH281" s="83"/>
      <c r="AI281" s="36"/>
      <c r="AK281" s="36"/>
    </row>
    <row r="282" spans="1:37" ht="14.25" customHeight="1">
      <c r="A282" s="36"/>
      <c r="B282" s="36"/>
      <c r="C282" s="77"/>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83"/>
      <c r="AH282" s="83"/>
      <c r="AI282" s="36"/>
      <c r="AK282" s="36"/>
    </row>
    <row r="283" spans="1:37" ht="14.25" customHeight="1">
      <c r="A283" s="36"/>
      <c r="B283" s="36"/>
      <c r="C283" s="77"/>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83"/>
      <c r="AH283" s="83"/>
      <c r="AI283" s="36"/>
      <c r="AK283" s="36"/>
    </row>
    <row r="284" spans="1:37" ht="14.25" customHeight="1">
      <c r="A284" s="36"/>
      <c r="B284" s="36"/>
      <c r="C284" s="77"/>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83"/>
      <c r="AH284" s="83"/>
      <c r="AI284" s="36"/>
      <c r="AK284" s="36"/>
    </row>
    <row r="285" spans="1:37" ht="14.25" customHeight="1">
      <c r="A285" s="36"/>
      <c r="B285" s="36"/>
      <c r="C285" s="77"/>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83"/>
      <c r="AH285" s="83"/>
      <c r="AI285" s="36"/>
      <c r="AK285" s="36"/>
    </row>
    <row r="286" spans="1:37" ht="14.25" customHeight="1">
      <c r="A286" s="36"/>
      <c r="B286" s="36"/>
      <c r="C286" s="77"/>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83"/>
      <c r="AH286" s="83"/>
      <c r="AI286" s="36"/>
      <c r="AK286" s="36"/>
    </row>
    <row r="287" spans="1:37" ht="14.25" customHeight="1">
      <c r="A287" s="36"/>
      <c r="B287" s="36"/>
      <c r="C287" s="77"/>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83"/>
      <c r="AH287" s="83"/>
      <c r="AI287" s="36"/>
      <c r="AK287" s="36"/>
    </row>
    <row r="288" spans="1:37" ht="14.25" customHeight="1">
      <c r="A288" s="36"/>
      <c r="B288" s="36"/>
      <c r="C288" s="77"/>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83"/>
      <c r="AH288" s="83"/>
      <c r="AI288" s="36"/>
      <c r="AK288" s="36"/>
    </row>
    <row r="289" spans="1:37" ht="14.25" customHeight="1">
      <c r="A289" s="36"/>
      <c r="B289" s="36"/>
      <c r="C289" s="77"/>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83"/>
      <c r="AH289" s="83"/>
      <c r="AI289" s="36"/>
      <c r="AK289" s="36"/>
    </row>
    <row r="290" spans="1:37" ht="14.25" customHeight="1">
      <c r="A290" s="36"/>
      <c r="B290" s="36"/>
      <c r="C290" s="77"/>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83"/>
      <c r="AH290" s="83"/>
      <c r="AI290" s="36"/>
      <c r="AK290" s="36"/>
    </row>
    <row r="291" spans="1:37" ht="14.25" customHeight="1">
      <c r="A291" s="36"/>
      <c r="B291" s="36"/>
      <c r="C291" s="77"/>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83"/>
      <c r="AH291" s="83"/>
      <c r="AI291" s="36"/>
      <c r="AK291" s="36"/>
    </row>
    <row r="292" spans="1:37" ht="14.25" customHeight="1">
      <c r="A292" s="36"/>
      <c r="B292" s="36"/>
      <c r="C292" s="77"/>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83"/>
      <c r="AH292" s="83"/>
      <c r="AI292" s="36"/>
      <c r="AK292" s="36"/>
    </row>
    <row r="293" spans="1:37" ht="14.25" customHeight="1">
      <c r="A293" s="36"/>
      <c r="B293" s="36"/>
      <c r="C293" s="77"/>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83"/>
      <c r="AH293" s="83"/>
      <c r="AI293" s="36"/>
      <c r="AK293" s="36"/>
    </row>
    <row r="294" spans="1:37" ht="14.25" customHeight="1">
      <c r="A294" s="36"/>
      <c r="B294" s="36"/>
      <c r="C294" s="77"/>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83"/>
      <c r="AH294" s="83"/>
      <c r="AI294" s="36"/>
      <c r="AK294" s="36"/>
    </row>
    <row r="295" spans="1:37" ht="14.25" customHeight="1">
      <c r="A295" s="36"/>
      <c r="B295" s="36"/>
      <c r="C295" s="77"/>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83"/>
      <c r="AH295" s="83"/>
      <c r="AI295" s="36"/>
      <c r="AK295" s="36"/>
    </row>
    <row r="296" spans="1:37" ht="14.25" customHeight="1">
      <c r="A296" s="36"/>
      <c r="B296" s="36"/>
      <c r="C296" s="77"/>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83"/>
      <c r="AH296" s="83"/>
      <c r="AI296" s="36"/>
      <c r="AK296" s="36"/>
    </row>
    <row r="297" spans="1:37" ht="14.25" customHeight="1">
      <c r="A297" s="36"/>
      <c r="B297" s="36"/>
      <c r="C297" s="77"/>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83"/>
      <c r="AH297" s="83"/>
      <c r="AI297" s="36"/>
      <c r="AK297" s="36"/>
    </row>
    <row r="298" spans="1:37" ht="14.25" customHeight="1">
      <c r="A298" s="36"/>
      <c r="B298" s="36"/>
      <c r="C298" s="77"/>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83"/>
      <c r="AH298" s="83"/>
      <c r="AI298" s="36"/>
      <c r="AK298" s="36"/>
    </row>
    <row r="299" spans="1:37" ht="14.25" customHeight="1">
      <c r="A299" s="36"/>
      <c r="B299" s="36"/>
      <c r="C299" s="77"/>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83"/>
      <c r="AH299" s="83"/>
      <c r="AI299" s="36"/>
      <c r="AK299" s="36"/>
    </row>
    <row r="300" spans="1:37" ht="14.25" customHeight="1">
      <c r="A300" s="36"/>
      <c r="B300" s="36"/>
      <c r="C300" s="77"/>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83"/>
      <c r="AH300" s="83"/>
      <c r="AI300" s="36"/>
      <c r="AK300" s="36"/>
    </row>
    <row r="301" spans="1:37" ht="14.25" customHeight="1">
      <c r="A301" s="36"/>
      <c r="B301" s="36"/>
      <c r="C301" s="77"/>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83"/>
      <c r="AH301" s="83"/>
      <c r="AI301" s="36"/>
      <c r="AK301" s="36"/>
    </row>
    <row r="302" spans="1:37" ht="14.25" customHeight="1">
      <c r="A302" s="36"/>
      <c r="B302" s="36"/>
      <c r="C302" s="77"/>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83"/>
      <c r="AH302" s="83"/>
      <c r="AI302" s="36"/>
      <c r="AK302" s="36"/>
    </row>
    <row r="303" spans="1:37" ht="14.25" customHeight="1">
      <c r="A303" s="36"/>
      <c r="B303" s="36"/>
      <c r="C303" s="77"/>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83"/>
      <c r="AH303" s="83"/>
      <c r="AI303" s="36"/>
      <c r="AK303" s="36"/>
    </row>
    <row r="304" spans="1:37" ht="14.25" customHeight="1">
      <c r="A304" s="36"/>
      <c r="B304" s="36"/>
      <c r="C304" s="77"/>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83"/>
      <c r="AH304" s="83"/>
      <c r="AI304" s="36"/>
      <c r="AK304" s="36"/>
    </row>
    <row r="305" spans="1:37" ht="14.25" customHeight="1">
      <c r="A305" s="36"/>
      <c r="B305" s="36"/>
      <c r="C305" s="77"/>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83"/>
      <c r="AH305" s="83"/>
      <c r="AI305" s="36"/>
      <c r="AK305" s="36"/>
    </row>
    <row r="306" spans="1:37" ht="14.25" customHeight="1">
      <c r="A306" s="36"/>
      <c r="B306" s="36"/>
      <c r="C306" s="77"/>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83"/>
      <c r="AH306" s="83"/>
      <c r="AI306" s="36"/>
      <c r="AK306" s="36"/>
    </row>
    <row r="307" spans="1:37" ht="14.25" customHeight="1">
      <c r="A307" s="36"/>
      <c r="B307" s="36"/>
      <c r="C307" s="77"/>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83"/>
      <c r="AH307" s="83"/>
      <c r="AI307" s="36"/>
      <c r="AK307" s="36"/>
    </row>
    <row r="308" spans="1:37" ht="14.25" customHeight="1">
      <c r="A308" s="36"/>
      <c r="B308" s="36"/>
      <c r="C308" s="77"/>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83"/>
      <c r="AH308" s="83"/>
      <c r="AI308" s="36"/>
      <c r="AK308" s="36"/>
    </row>
    <row r="309" spans="1:37" ht="14.25" customHeight="1">
      <c r="A309" s="36"/>
      <c r="B309" s="36"/>
      <c r="C309" s="77"/>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83"/>
      <c r="AH309" s="83"/>
      <c r="AI309" s="36"/>
      <c r="AK309" s="36"/>
    </row>
    <row r="310" spans="1:37" ht="14.25" customHeight="1">
      <c r="A310" s="36"/>
      <c r="B310" s="36"/>
      <c r="C310" s="77"/>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83"/>
      <c r="AH310" s="83"/>
      <c r="AI310" s="36"/>
      <c r="AK310" s="36"/>
    </row>
    <row r="311" spans="1:37" ht="14.25" customHeight="1">
      <c r="A311" s="36"/>
      <c r="B311" s="36"/>
      <c r="C311" s="77"/>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83"/>
      <c r="AH311" s="83"/>
      <c r="AI311" s="36"/>
      <c r="AK311" s="36"/>
    </row>
    <row r="312" spans="1:37" ht="14.25" customHeight="1">
      <c r="A312" s="36"/>
      <c r="B312" s="36"/>
      <c r="C312" s="77"/>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83"/>
      <c r="AH312" s="83"/>
      <c r="AI312" s="36"/>
      <c r="AK312" s="36"/>
    </row>
    <row r="313" spans="1:37" ht="14.25" customHeight="1">
      <c r="A313" s="36"/>
      <c r="B313" s="36"/>
      <c r="C313" s="77"/>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83"/>
      <c r="AH313" s="83"/>
      <c r="AI313" s="36"/>
      <c r="AK313" s="36"/>
    </row>
    <row r="314" spans="1:37" ht="14.25" customHeight="1">
      <c r="A314" s="36"/>
      <c r="B314" s="36"/>
      <c r="C314" s="77"/>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83"/>
      <c r="AH314" s="83"/>
      <c r="AI314" s="36"/>
      <c r="AK314" s="36"/>
    </row>
    <row r="315" spans="1:37" ht="14.25" customHeight="1">
      <c r="A315" s="36"/>
      <c r="B315" s="36"/>
      <c r="C315" s="77"/>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83"/>
      <c r="AH315" s="83"/>
      <c r="AI315" s="36"/>
      <c r="AK315" s="36"/>
    </row>
    <row r="316" spans="1:37" ht="14.25" customHeight="1">
      <c r="A316" s="36"/>
      <c r="B316" s="36"/>
      <c r="C316" s="77"/>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83"/>
      <c r="AH316" s="83"/>
      <c r="AI316" s="36"/>
      <c r="AK316" s="36"/>
    </row>
    <row r="317" spans="1:37" ht="14.25" customHeight="1">
      <c r="A317" s="36"/>
      <c r="B317" s="36"/>
      <c r="C317" s="77"/>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83"/>
      <c r="AH317" s="83"/>
      <c r="AI317" s="36"/>
      <c r="AK317" s="36"/>
    </row>
    <row r="318" spans="1:37" ht="14.25" customHeight="1">
      <c r="A318" s="36"/>
      <c r="B318" s="36"/>
      <c r="C318" s="77"/>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83"/>
      <c r="AH318" s="83"/>
      <c r="AI318" s="36"/>
      <c r="AK318" s="36"/>
    </row>
    <row r="319" spans="1:37" ht="14.25" customHeight="1">
      <c r="A319" s="36"/>
      <c r="B319" s="36"/>
      <c r="C319" s="77"/>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83"/>
      <c r="AH319" s="83"/>
      <c r="AI319" s="36"/>
      <c r="AK319" s="36"/>
    </row>
    <row r="320" spans="1:37" ht="14.25" customHeight="1">
      <c r="A320" s="36"/>
      <c r="B320" s="36"/>
      <c r="C320" s="77"/>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83"/>
      <c r="AH320" s="83"/>
      <c r="AI320" s="36"/>
      <c r="AK320" s="36"/>
    </row>
    <row r="321" spans="1:37" ht="14.25" customHeight="1">
      <c r="A321" s="36"/>
      <c r="B321" s="36"/>
      <c r="C321" s="77"/>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83"/>
      <c r="AH321" s="83"/>
      <c r="AI321" s="36"/>
      <c r="AK321" s="36"/>
    </row>
    <row r="322" spans="1:37" ht="14.25" customHeight="1">
      <c r="A322" s="36"/>
      <c r="B322" s="36"/>
      <c r="C322" s="77"/>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83"/>
      <c r="AH322" s="83"/>
      <c r="AI322" s="36"/>
      <c r="AK322" s="36"/>
    </row>
    <row r="323" spans="1:37" ht="14.25" customHeight="1">
      <c r="A323" s="36"/>
      <c r="B323" s="36"/>
      <c r="C323" s="77"/>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83"/>
      <c r="AH323" s="83"/>
      <c r="AI323" s="36"/>
      <c r="AK323" s="36"/>
    </row>
    <row r="324" spans="1:37" ht="14.25" customHeight="1">
      <c r="A324" s="36"/>
      <c r="B324" s="36"/>
      <c r="C324" s="77"/>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83"/>
      <c r="AH324" s="83"/>
      <c r="AI324" s="36"/>
      <c r="AK324" s="36"/>
    </row>
    <row r="325" spans="1:37" ht="14.25" customHeight="1">
      <c r="A325" s="36"/>
      <c r="B325" s="36"/>
      <c r="C325" s="77"/>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83"/>
      <c r="AH325" s="83"/>
      <c r="AI325" s="36"/>
      <c r="AK325" s="36"/>
    </row>
    <row r="326" spans="1:37" ht="14.25" customHeight="1">
      <c r="A326" s="36"/>
      <c r="B326" s="36"/>
      <c r="C326" s="77"/>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83"/>
      <c r="AH326" s="83"/>
      <c r="AI326" s="36"/>
      <c r="AK326" s="36"/>
    </row>
    <row r="327" spans="1:37" ht="14.25" customHeight="1">
      <c r="A327" s="36"/>
      <c r="B327" s="36"/>
      <c r="C327" s="77"/>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83"/>
      <c r="AH327" s="83"/>
      <c r="AI327" s="36"/>
      <c r="AK327" s="36"/>
    </row>
    <row r="328" spans="1:37" ht="14.25" customHeight="1">
      <c r="A328" s="36"/>
      <c r="B328" s="36"/>
      <c r="C328" s="77"/>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83"/>
      <c r="AH328" s="83"/>
      <c r="AI328" s="36"/>
      <c r="AK328" s="36"/>
    </row>
    <row r="329" spans="1:37" ht="14.25" customHeight="1">
      <c r="A329" s="36"/>
      <c r="B329" s="36"/>
      <c r="C329" s="77"/>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83"/>
      <c r="AH329" s="83"/>
      <c r="AI329" s="36"/>
      <c r="AK329" s="36"/>
    </row>
    <row r="330" spans="1:37" ht="14.25" customHeight="1">
      <c r="A330" s="36"/>
      <c r="B330" s="36"/>
      <c r="C330" s="77"/>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83"/>
      <c r="AH330" s="83"/>
      <c r="AI330" s="36"/>
      <c r="AK330" s="36"/>
    </row>
    <row r="331" spans="1:37" ht="14.25" customHeight="1">
      <c r="A331" s="36"/>
      <c r="B331" s="36"/>
      <c r="C331" s="77"/>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83"/>
      <c r="AH331" s="83"/>
      <c r="AI331" s="36"/>
      <c r="AK331" s="36"/>
    </row>
    <row r="332" spans="1:37" ht="14.25" customHeight="1">
      <c r="A332" s="36"/>
      <c r="B332" s="36"/>
      <c r="C332" s="77"/>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83"/>
      <c r="AH332" s="83"/>
      <c r="AI332" s="36"/>
      <c r="AK332" s="36"/>
    </row>
    <row r="333" spans="1:37" ht="14.25" customHeight="1">
      <c r="A333" s="36"/>
      <c r="B333" s="36"/>
      <c r="C333" s="77"/>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83"/>
      <c r="AH333" s="83"/>
      <c r="AI333" s="36"/>
      <c r="AK333" s="36"/>
    </row>
    <row r="334" spans="1:37" ht="14.25" customHeight="1">
      <c r="A334" s="36"/>
      <c r="B334" s="36"/>
      <c r="C334" s="77"/>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83"/>
      <c r="AH334" s="83"/>
      <c r="AI334" s="36"/>
      <c r="AK334" s="36"/>
    </row>
    <row r="335" spans="1:37" ht="14.25" customHeight="1">
      <c r="A335" s="36"/>
      <c r="B335" s="36"/>
      <c r="C335" s="77"/>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83"/>
      <c r="AH335" s="83"/>
      <c r="AI335" s="36"/>
      <c r="AK335" s="36"/>
    </row>
    <row r="336" spans="1:37" ht="14.25" customHeight="1">
      <c r="A336" s="36"/>
      <c r="B336" s="36"/>
      <c r="C336" s="77"/>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83"/>
      <c r="AH336" s="83"/>
      <c r="AI336" s="36"/>
      <c r="AK336" s="36"/>
    </row>
    <row r="337" spans="1:37" ht="14.25" customHeight="1">
      <c r="A337" s="36"/>
      <c r="B337" s="36"/>
      <c r="C337" s="77"/>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83"/>
      <c r="AH337" s="83"/>
      <c r="AI337" s="36"/>
      <c r="AK337" s="36"/>
    </row>
    <row r="338" spans="1:37" ht="14.25" customHeight="1">
      <c r="A338" s="36"/>
      <c r="B338" s="36"/>
      <c r="C338" s="77"/>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83"/>
      <c r="AH338" s="83"/>
      <c r="AI338" s="36"/>
      <c r="AK338" s="36"/>
    </row>
    <row r="339" spans="1:37" ht="14.25" customHeight="1">
      <c r="A339" s="36"/>
      <c r="B339" s="36"/>
      <c r="C339" s="77"/>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83"/>
      <c r="AH339" s="83"/>
      <c r="AI339" s="36"/>
      <c r="AK339" s="36"/>
    </row>
    <row r="340" spans="1:37" ht="14.25" customHeight="1">
      <c r="A340" s="36"/>
      <c r="B340" s="36"/>
      <c r="C340" s="77"/>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83"/>
      <c r="AH340" s="83"/>
      <c r="AI340" s="36"/>
      <c r="AK340" s="36"/>
    </row>
    <row r="341" spans="1:37" ht="14.25" customHeight="1">
      <c r="A341" s="36"/>
      <c r="B341" s="36"/>
      <c r="C341" s="77"/>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83"/>
      <c r="AH341" s="83"/>
      <c r="AI341" s="36"/>
      <c r="AK341" s="36"/>
    </row>
    <row r="342" spans="1:37" ht="14.25" customHeight="1">
      <c r="A342" s="36"/>
      <c r="B342" s="36"/>
      <c r="C342" s="77"/>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83"/>
      <c r="AH342" s="83"/>
      <c r="AI342" s="36"/>
      <c r="AK342" s="36"/>
    </row>
    <row r="343" spans="1:37" ht="14.25" customHeight="1">
      <c r="A343" s="36"/>
      <c r="B343" s="36"/>
      <c r="C343" s="77"/>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83"/>
      <c r="AH343" s="83"/>
      <c r="AI343" s="36"/>
      <c r="AK343" s="36"/>
    </row>
    <row r="344" spans="1:37" ht="14.25" customHeight="1">
      <c r="A344" s="36"/>
      <c r="B344" s="36"/>
      <c r="C344" s="77"/>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83"/>
      <c r="AH344" s="83"/>
      <c r="AI344" s="36"/>
      <c r="AK344" s="36"/>
    </row>
    <row r="345" spans="1:37" ht="14.25" customHeight="1">
      <c r="A345" s="36"/>
      <c r="B345" s="36"/>
      <c r="C345" s="77"/>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83"/>
      <c r="AH345" s="83"/>
      <c r="AI345" s="36"/>
      <c r="AK345" s="36"/>
    </row>
    <row r="346" spans="1:37" ht="14.25" customHeight="1">
      <c r="A346" s="36"/>
      <c r="B346" s="36"/>
      <c r="C346" s="77"/>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83"/>
      <c r="AH346" s="83"/>
      <c r="AI346" s="36"/>
      <c r="AK346" s="36"/>
    </row>
    <row r="347" spans="1:37" ht="14.25" customHeight="1">
      <c r="A347" s="36"/>
      <c r="B347" s="36"/>
      <c r="C347" s="77"/>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83"/>
      <c r="AH347" s="83"/>
      <c r="AI347" s="36"/>
      <c r="AK347" s="36"/>
    </row>
    <row r="348" spans="1:37" ht="14.25" customHeight="1">
      <c r="A348" s="36"/>
      <c r="B348" s="36"/>
      <c r="C348" s="77"/>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83"/>
      <c r="AH348" s="83"/>
      <c r="AI348" s="36"/>
      <c r="AK348" s="36"/>
    </row>
    <row r="349" spans="1:37" ht="14.25" customHeight="1">
      <c r="A349" s="36"/>
      <c r="B349" s="36"/>
      <c r="C349" s="77"/>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83"/>
      <c r="AH349" s="83"/>
      <c r="AI349" s="36"/>
      <c r="AK349" s="36"/>
    </row>
    <row r="350" spans="1:37" ht="14.25" customHeight="1">
      <c r="A350" s="36"/>
      <c r="B350" s="36"/>
      <c r="C350" s="77"/>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83"/>
      <c r="AH350" s="83"/>
      <c r="AI350" s="36"/>
      <c r="AK350" s="36"/>
    </row>
    <row r="351" spans="1:37" ht="14.25" customHeight="1">
      <c r="A351" s="36"/>
      <c r="B351" s="36"/>
      <c r="C351" s="77"/>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83"/>
      <c r="AH351" s="83"/>
      <c r="AI351" s="36"/>
      <c r="AK351" s="36"/>
    </row>
    <row r="352" spans="1:37" ht="14.25" customHeight="1">
      <c r="A352" s="36"/>
      <c r="B352" s="36"/>
      <c r="C352" s="77"/>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83"/>
      <c r="AH352" s="83"/>
      <c r="AI352" s="36"/>
      <c r="AK352" s="36"/>
    </row>
    <row r="353" spans="1:37" ht="14.25" customHeight="1">
      <c r="A353" s="36"/>
      <c r="B353" s="36"/>
      <c r="C353" s="77"/>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83"/>
      <c r="AH353" s="83"/>
      <c r="AI353" s="36"/>
      <c r="AK353" s="36"/>
    </row>
    <row r="354" spans="1:37" ht="14.25" customHeight="1">
      <c r="A354" s="36"/>
      <c r="B354" s="36"/>
      <c r="C354" s="77"/>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83"/>
      <c r="AH354" s="83"/>
      <c r="AI354" s="36"/>
      <c r="AK354" s="36"/>
    </row>
    <row r="355" spans="1:37" ht="14.25" customHeight="1">
      <c r="A355" s="36"/>
      <c r="B355" s="36"/>
      <c r="C355" s="77"/>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83"/>
      <c r="AH355" s="83"/>
      <c r="AI355" s="36"/>
      <c r="AK355" s="36"/>
    </row>
    <row r="356" spans="1:37" ht="14.25" customHeight="1">
      <c r="A356" s="36"/>
      <c r="B356" s="36"/>
      <c r="C356" s="77"/>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83"/>
      <c r="AH356" s="83"/>
      <c r="AI356" s="36"/>
      <c r="AK356" s="36"/>
    </row>
    <row r="357" spans="1:37" ht="14.25" customHeight="1">
      <c r="A357" s="36"/>
      <c r="B357" s="36"/>
      <c r="C357" s="77"/>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83"/>
      <c r="AH357" s="83"/>
      <c r="AI357" s="36"/>
      <c r="AK357" s="36"/>
    </row>
    <row r="358" spans="1:37" ht="14.25" customHeight="1">
      <c r="A358" s="36"/>
      <c r="B358" s="36"/>
      <c r="C358" s="77"/>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83"/>
      <c r="AH358" s="83"/>
      <c r="AI358" s="36"/>
      <c r="AK358" s="36"/>
    </row>
    <row r="359" spans="1:37" ht="14.25" customHeight="1">
      <c r="A359" s="36"/>
      <c r="B359" s="36"/>
      <c r="C359" s="77"/>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83"/>
      <c r="AH359" s="83"/>
      <c r="AI359" s="36"/>
      <c r="AK359" s="36"/>
    </row>
    <row r="360" spans="1:37" ht="14.25" customHeight="1">
      <c r="A360" s="36"/>
      <c r="B360" s="36"/>
      <c r="C360" s="77"/>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83"/>
      <c r="AH360" s="83"/>
      <c r="AI360" s="36"/>
      <c r="AK360" s="36"/>
    </row>
    <row r="361" spans="1:37" ht="14.25" customHeight="1">
      <c r="A361" s="36"/>
      <c r="B361" s="36"/>
      <c r="C361" s="77"/>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83"/>
      <c r="AH361" s="83"/>
      <c r="AI361" s="36"/>
      <c r="AK361" s="36"/>
    </row>
    <row r="362" spans="1:37" ht="14.25" customHeight="1">
      <c r="A362" s="36"/>
      <c r="B362" s="36"/>
      <c r="C362" s="77"/>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83"/>
      <c r="AH362" s="83"/>
      <c r="AI362" s="36"/>
      <c r="AK362" s="36"/>
    </row>
    <row r="363" spans="1:37" ht="14.25" customHeight="1">
      <c r="A363" s="36"/>
      <c r="B363" s="36"/>
      <c r="C363" s="77"/>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83"/>
      <c r="AH363" s="83"/>
      <c r="AI363" s="36"/>
      <c r="AK363" s="36"/>
    </row>
    <row r="364" spans="1:37" ht="14.25" customHeight="1">
      <c r="A364" s="36"/>
      <c r="B364" s="36"/>
      <c r="C364" s="77"/>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83"/>
      <c r="AH364" s="83"/>
      <c r="AI364" s="36"/>
      <c r="AK364" s="36"/>
    </row>
    <row r="365" spans="1:37" ht="14.25" customHeight="1">
      <c r="A365" s="36"/>
      <c r="B365" s="36"/>
      <c r="C365" s="77"/>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83"/>
      <c r="AH365" s="83"/>
      <c r="AI365" s="36"/>
      <c r="AK365" s="36"/>
    </row>
    <row r="366" spans="1:37" ht="14.25" customHeight="1">
      <c r="A366" s="36"/>
      <c r="B366" s="36"/>
      <c r="C366" s="77"/>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83"/>
      <c r="AH366" s="83"/>
      <c r="AI366" s="36"/>
      <c r="AK366" s="36"/>
    </row>
    <row r="367" spans="1:37" ht="14.25" customHeight="1">
      <c r="A367" s="36"/>
      <c r="B367" s="36"/>
      <c r="C367" s="77"/>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83"/>
      <c r="AH367" s="83"/>
      <c r="AI367" s="36"/>
      <c r="AK367" s="36"/>
    </row>
    <row r="368" spans="1:37" ht="14.25" customHeight="1">
      <c r="A368" s="36"/>
      <c r="B368" s="36"/>
      <c r="C368" s="77"/>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83"/>
      <c r="AH368" s="83"/>
      <c r="AI368" s="36"/>
      <c r="AK368" s="36"/>
    </row>
    <row r="369" spans="1:37" ht="14.25" customHeight="1">
      <c r="A369" s="36"/>
      <c r="B369" s="36"/>
      <c r="C369" s="77"/>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83"/>
      <c r="AH369" s="83"/>
      <c r="AI369" s="36"/>
      <c r="AK369" s="36"/>
    </row>
    <row r="370" spans="1:37" ht="14.25" customHeight="1">
      <c r="A370" s="36"/>
      <c r="B370" s="36"/>
      <c r="C370" s="77"/>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83"/>
      <c r="AH370" s="83"/>
      <c r="AI370" s="36"/>
      <c r="AK370" s="36"/>
    </row>
    <row r="371" spans="1:37" ht="14.25" customHeight="1">
      <c r="A371" s="36"/>
      <c r="B371" s="36"/>
      <c r="C371" s="77"/>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83"/>
      <c r="AH371" s="83"/>
      <c r="AI371" s="36"/>
      <c r="AK371" s="36"/>
    </row>
    <row r="372" spans="1:37" ht="14.25" customHeight="1">
      <c r="A372" s="36"/>
      <c r="B372" s="36"/>
      <c r="C372" s="77"/>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83"/>
      <c r="AH372" s="83"/>
      <c r="AI372" s="36"/>
      <c r="AK372" s="36"/>
    </row>
    <row r="373" spans="1:37" ht="14.25" customHeight="1">
      <c r="A373" s="36"/>
      <c r="B373" s="36"/>
      <c r="C373" s="77"/>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83"/>
      <c r="AH373" s="83"/>
      <c r="AI373" s="36"/>
      <c r="AK373" s="36"/>
    </row>
    <row r="374" spans="1:37" ht="14.25" customHeight="1">
      <c r="A374" s="36"/>
      <c r="B374" s="36"/>
      <c r="C374" s="77"/>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83"/>
      <c r="AH374" s="83"/>
      <c r="AI374" s="36"/>
      <c r="AK374" s="36"/>
    </row>
    <row r="375" spans="1:37" ht="14.25" customHeight="1">
      <c r="A375" s="36"/>
      <c r="B375" s="36"/>
      <c r="C375" s="77"/>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83"/>
      <c r="AH375" s="83"/>
      <c r="AI375" s="36"/>
      <c r="AK375" s="36"/>
    </row>
    <row r="376" spans="1:37" ht="14.25" customHeight="1">
      <c r="A376" s="36"/>
      <c r="B376" s="36"/>
      <c r="C376" s="77"/>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83"/>
      <c r="AH376" s="83"/>
      <c r="AI376" s="36"/>
      <c r="AK376" s="36"/>
    </row>
    <row r="377" spans="1:37" ht="14.25" customHeight="1">
      <c r="A377" s="36"/>
      <c r="B377" s="36"/>
      <c r="C377" s="77"/>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83"/>
      <c r="AH377" s="83"/>
      <c r="AI377" s="36"/>
      <c r="AK377" s="36"/>
    </row>
    <row r="378" spans="1:37" ht="14.25" customHeight="1">
      <c r="A378" s="36"/>
      <c r="B378" s="36"/>
      <c r="C378" s="77"/>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83"/>
      <c r="AH378" s="83"/>
      <c r="AI378" s="36"/>
      <c r="AK378" s="36"/>
    </row>
    <row r="379" spans="1:37" ht="14.25" customHeight="1">
      <c r="A379" s="36"/>
      <c r="B379" s="36"/>
      <c r="C379" s="77"/>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83"/>
      <c r="AH379" s="83"/>
      <c r="AI379" s="36"/>
      <c r="AK379" s="36"/>
    </row>
    <row r="380" spans="1:37" ht="14.25" customHeight="1">
      <c r="A380" s="36"/>
      <c r="B380" s="36"/>
      <c r="C380" s="77"/>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83"/>
      <c r="AH380" s="83"/>
      <c r="AI380" s="36"/>
      <c r="AK380" s="36"/>
    </row>
    <row r="381" spans="1:37" ht="14.25" customHeight="1">
      <c r="A381" s="36"/>
      <c r="B381" s="36"/>
      <c r="C381" s="77"/>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83"/>
      <c r="AH381" s="83"/>
      <c r="AI381" s="36"/>
      <c r="AK381" s="36"/>
    </row>
    <row r="382" spans="1:37" ht="14.25" customHeight="1">
      <c r="A382" s="36"/>
      <c r="B382" s="36"/>
      <c r="C382" s="77"/>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83"/>
      <c r="AH382" s="83"/>
      <c r="AI382" s="36"/>
      <c r="AK382" s="36"/>
    </row>
    <row r="383" spans="1:37" ht="14.25" customHeight="1">
      <c r="A383" s="36"/>
      <c r="B383" s="36"/>
      <c r="C383" s="77"/>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83"/>
      <c r="AH383" s="83"/>
      <c r="AI383" s="36"/>
      <c r="AK383" s="36"/>
    </row>
    <row r="384" spans="1:37" ht="14.25" customHeight="1">
      <c r="A384" s="36"/>
      <c r="B384" s="36"/>
      <c r="C384" s="77"/>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83"/>
      <c r="AH384" s="83"/>
      <c r="AI384" s="36"/>
      <c r="AK384" s="36"/>
    </row>
    <row r="385" spans="1:37" ht="14.25" customHeight="1">
      <c r="A385" s="36"/>
      <c r="B385" s="36"/>
      <c r="C385" s="77"/>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83"/>
      <c r="AH385" s="83"/>
      <c r="AI385" s="36"/>
      <c r="AK385" s="36"/>
    </row>
    <row r="386" spans="1:37" ht="14.25" customHeight="1">
      <c r="A386" s="36"/>
      <c r="B386" s="36"/>
      <c r="C386" s="77"/>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83"/>
      <c r="AH386" s="83"/>
      <c r="AI386" s="36"/>
      <c r="AK386" s="36"/>
    </row>
    <row r="387" spans="1:37" ht="14.25" customHeight="1">
      <c r="A387" s="36"/>
      <c r="B387" s="36"/>
      <c r="C387" s="77"/>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83"/>
      <c r="AH387" s="83"/>
      <c r="AI387" s="36"/>
      <c r="AK387" s="36"/>
    </row>
    <row r="388" spans="1:37" ht="14.25" customHeight="1">
      <c r="A388" s="36"/>
      <c r="B388" s="36"/>
      <c r="C388" s="77"/>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83"/>
      <c r="AH388" s="83"/>
      <c r="AI388" s="36"/>
      <c r="AK388" s="36"/>
    </row>
    <row r="389" spans="1:37" ht="14.25" customHeight="1">
      <c r="A389" s="36"/>
      <c r="B389" s="36"/>
      <c r="C389" s="77"/>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83"/>
      <c r="AH389" s="83"/>
      <c r="AI389" s="36"/>
      <c r="AK389" s="36"/>
    </row>
    <row r="390" spans="1:37" ht="14.25" customHeight="1">
      <c r="A390" s="36"/>
      <c r="B390" s="36"/>
      <c r="C390" s="77"/>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83"/>
      <c r="AH390" s="83"/>
      <c r="AI390" s="36"/>
      <c r="AK390" s="36"/>
    </row>
    <row r="391" spans="1:37" ht="14.25" customHeight="1">
      <c r="A391" s="36"/>
      <c r="B391" s="36"/>
      <c r="C391" s="77"/>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83"/>
      <c r="AH391" s="83"/>
      <c r="AI391" s="36"/>
      <c r="AK391" s="36"/>
    </row>
    <row r="392" spans="1:37" ht="14.25" customHeight="1">
      <c r="A392" s="36"/>
      <c r="B392" s="36"/>
      <c r="C392" s="77"/>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83"/>
      <c r="AH392" s="83"/>
      <c r="AI392" s="36"/>
      <c r="AK392" s="36"/>
    </row>
    <row r="393" spans="1:37" ht="14.25" customHeight="1">
      <c r="A393" s="36"/>
      <c r="B393" s="36"/>
      <c r="C393" s="77"/>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83"/>
      <c r="AH393" s="83"/>
      <c r="AI393" s="36"/>
      <c r="AK393" s="36"/>
    </row>
    <row r="394" spans="1:37" ht="14.25" customHeight="1">
      <c r="A394" s="36"/>
      <c r="B394" s="36"/>
      <c r="C394" s="77"/>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83"/>
      <c r="AH394" s="83"/>
      <c r="AI394" s="36"/>
      <c r="AK394" s="36"/>
    </row>
    <row r="395" spans="1:37" ht="14.25" customHeight="1">
      <c r="A395" s="36"/>
      <c r="B395" s="36"/>
      <c r="C395" s="77"/>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83"/>
      <c r="AH395" s="83"/>
      <c r="AI395" s="36"/>
      <c r="AK395" s="36"/>
    </row>
    <row r="396" spans="1:37" ht="14.25" customHeight="1">
      <c r="A396" s="36"/>
      <c r="B396" s="36"/>
      <c r="C396" s="77"/>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83"/>
      <c r="AH396" s="83"/>
      <c r="AI396" s="36"/>
      <c r="AK396" s="36"/>
    </row>
    <row r="397" spans="1:37" ht="14.25" customHeight="1">
      <c r="A397" s="36"/>
      <c r="B397" s="36"/>
      <c r="C397" s="77"/>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83"/>
      <c r="AH397" s="83"/>
      <c r="AI397" s="36"/>
      <c r="AK397" s="36"/>
    </row>
    <row r="398" spans="1:37" ht="14.25" customHeight="1">
      <c r="A398" s="36"/>
      <c r="B398" s="36"/>
      <c r="C398" s="77"/>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83"/>
      <c r="AH398" s="83"/>
      <c r="AI398" s="36"/>
      <c r="AK398" s="36"/>
    </row>
    <row r="399" spans="1:37" ht="14.25" customHeight="1">
      <c r="A399" s="36"/>
      <c r="B399" s="36"/>
      <c r="C399" s="77"/>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83"/>
      <c r="AH399" s="83"/>
      <c r="AI399" s="36"/>
      <c r="AK399" s="36"/>
    </row>
    <row r="400" spans="1:37" ht="14.25" customHeight="1">
      <c r="A400" s="36"/>
      <c r="B400" s="36"/>
      <c r="C400" s="77"/>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83"/>
      <c r="AH400" s="83"/>
      <c r="AI400" s="36"/>
      <c r="AK400" s="36"/>
    </row>
    <row r="401" spans="1:37" ht="14.25" customHeight="1">
      <c r="A401" s="36"/>
      <c r="B401" s="36"/>
      <c r="C401" s="77"/>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83"/>
      <c r="AH401" s="83"/>
      <c r="AI401" s="36"/>
      <c r="AK401" s="36"/>
    </row>
    <row r="402" spans="1:37" ht="14.25" customHeight="1">
      <c r="A402" s="36"/>
      <c r="B402" s="36"/>
      <c r="C402" s="77"/>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83"/>
      <c r="AH402" s="83"/>
      <c r="AI402" s="36"/>
      <c r="AK402" s="36"/>
    </row>
    <row r="403" spans="1:37" ht="14.25" customHeight="1">
      <c r="A403" s="36"/>
      <c r="B403" s="36"/>
      <c r="C403" s="77"/>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83"/>
      <c r="AH403" s="83"/>
      <c r="AI403" s="36"/>
      <c r="AK403" s="36"/>
    </row>
    <row r="404" spans="1:37" ht="14.25" customHeight="1">
      <c r="A404" s="36"/>
      <c r="B404" s="36"/>
      <c r="C404" s="77"/>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83"/>
      <c r="AH404" s="83"/>
      <c r="AI404" s="36"/>
      <c r="AK404" s="36"/>
    </row>
    <row r="405" spans="1:37" ht="14.25" customHeight="1">
      <c r="A405" s="36"/>
      <c r="B405" s="36"/>
      <c r="C405" s="77"/>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83"/>
      <c r="AH405" s="83"/>
      <c r="AI405" s="36"/>
      <c r="AK405" s="36"/>
    </row>
    <row r="406" spans="1:37" ht="14.25" customHeight="1">
      <c r="A406" s="36"/>
      <c r="B406" s="36"/>
      <c r="C406" s="77"/>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83"/>
      <c r="AH406" s="83"/>
      <c r="AI406" s="36"/>
      <c r="AK406" s="36"/>
    </row>
    <row r="407" spans="1:37" ht="14.25" customHeight="1">
      <c r="A407" s="36"/>
      <c r="B407" s="36"/>
      <c r="C407" s="77"/>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83"/>
      <c r="AH407" s="83"/>
      <c r="AI407" s="36"/>
      <c r="AK407" s="36"/>
    </row>
    <row r="408" spans="1:37" ht="14.25" customHeight="1">
      <c r="A408" s="36"/>
      <c r="B408" s="36"/>
      <c r="C408" s="77"/>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83"/>
      <c r="AH408" s="83"/>
      <c r="AI408" s="36"/>
      <c r="AK408" s="36"/>
    </row>
    <row r="409" spans="1:37" ht="14.25" customHeight="1">
      <c r="A409" s="36"/>
      <c r="B409" s="36"/>
      <c r="C409" s="77"/>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83"/>
      <c r="AH409" s="83"/>
      <c r="AI409" s="36"/>
      <c r="AK409" s="36"/>
    </row>
    <row r="410" spans="1:37" ht="14.25" customHeight="1">
      <c r="A410" s="36"/>
      <c r="B410" s="36"/>
      <c r="C410" s="77"/>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83"/>
      <c r="AH410" s="83"/>
      <c r="AI410" s="36"/>
      <c r="AK410" s="36"/>
    </row>
    <row r="411" spans="1:37" ht="14.25" customHeight="1">
      <c r="A411" s="36"/>
      <c r="B411" s="36"/>
      <c r="C411" s="77"/>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83"/>
      <c r="AH411" s="83"/>
      <c r="AI411" s="36"/>
      <c r="AK411" s="36"/>
    </row>
    <row r="412" spans="1:37" ht="14.25" customHeight="1">
      <c r="A412" s="36"/>
      <c r="B412" s="36"/>
      <c r="C412" s="77"/>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83"/>
      <c r="AH412" s="83"/>
      <c r="AI412" s="36"/>
      <c r="AK412" s="36"/>
    </row>
    <row r="413" spans="1:37" ht="14.25" customHeight="1">
      <c r="A413" s="36"/>
      <c r="B413" s="36"/>
      <c r="C413" s="77"/>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83"/>
      <c r="AH413" s="83"/>
      <c r="AI413" s="36"/>
      <c r="AK413" s="36"/>
    </row>
    <row r="414" spans="1:37" ht="14.25" customHeight="1">
      <c r="A414" s="36"/>
      <c r="B414" s="36"/>
      <c r="C414" s="77"/>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83"/>
      <c r="AH414" s="83"/>
      <c r="AI414" s="36"/>
      <c r="AK414" s="36"/>
    </row>
    <row r="415" spans="1:37" ht="14.25" customHeight="1">
      <c r="A415" s="36"/>
      <c r="B415" s="36"/>
      <c r="C415" s="77"/>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83"/>
      <c r="AH415" s="83"/>
      <c r="AI415" s="36"/>
      <c r="AK415" s="36"/>
    </row>
    <row r="416" spans="1:37" ht="14.25" customHeight="1">
      <c r="A416" s="36"/>
      <c r="B416" s="36"/>
      <c r="C416" s="77"/>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83"/>
      <c r="AH416" s="83"/>
      <c r="AI416" s="36"/>
      <c r="AK416" s="36"/>
    </row>
    <row r="417" spans="1:37" ht="14.25" customHeight="1">
      <c r="A417" s="36"/>
      <c r="B417" s="36"/>
      <c r="C417" s="77"/>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83"/>
      <c r="AH417" s="83"/>
      <c r="AI417" s="36"/>
      <c r="AK417" s="36"/>
    </row>
    <row r="418" spans="1:37" ht="14.25" customHeight="1">
      <c r="A418" s="36"/>
      <c r="B418" s="36"/>
      <c r="C418" s="77"/>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83"/>
      <c r="AH418" s="83"/>
      <c r="AI418" s="36"/>
      <c r="AK418" s="36"/>
    </row>
    <row r="419" spans="1:37" ht="14.25" customHeight="1">
      <c r="A419" s="36"/>
      <c r="B419" s="36"/>
      <c r="C419" s="77"/>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83"/>
      <c r="AH419" s="83"/>
      <c r="AI419" s="36"/>
      <c r="AK419" s="36"/>
    </row>
    <row r="420" spans="1:37" ht="14.25" customHeight="1">
      <c r="A420" s="36"/>
      <c r="B420" s="36"/>
      <c r="C420" s="77"/>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83"/>
      <c r="AH420" s="83"/>
      <c r="AI420" s="36"/>
      <c r="AK420" s="36"/>
    </row>
    <row r="421" spans="1:37" ht="14.25" customHeight="1">
      <c r="A421" s="36"/>
      <c r="B421" s="36"/>
      <c r="C421" s="77"/>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83"/>
      <c r="AH421" s="83"/>
      <c r="AI421" s="36"/>
      <c r="AK421" s="36"/>
    </row>
    <row r="422" spans="1:37" ht="14.25" customHeight="1">
      <c r="A422" s="36"/>
      <c r="B422" s="36"/>
      <c r="C422" s="77"/>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83"/>
      <c r="AH422" s="83"/>
      <c r="AI422" s="36"/>
      <c r="AK422" s="36"/>
    </row>
    <row r="423" spans="1:37" ht="14.25" customHeight="1">
      <c r="A423" s="36"/>
      <c r="B423" s="36"/>
      <c r="C423" s="77"/>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83"/>
      <c r="AH423" s="83"/>
      <c r="AI423" s="36"/>
      <c r="AK423" s="36"/>
    </row>
    <row r="424" spans="1:37" ht="14.25" customHeight="1">
      <c r="A424" s="36"/>
      <c r="B424" s="36"/>
      <c r="C424" s="77"/>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83"/>
      <c r="AH424" s="83"/>
      <c r="AI424" s="36"/>
      <c r="AK424" s="36"/>
    </row>
    <row r="425" spans="1:37" ht="14.25" customHeight="1">
      <c r="A425" s="36"/>
      <c r="B425" s="36"/>
      <c r="C425" s="77"/>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83"/>
      <c r="AH425" s="83"/>
      <c r="AI425" s="36"/>
      <c r="AK425" s="36"/>
    </row>
    <row r="426" spans="1:37" ht="14.25" customHeight="1">
      <c r="A426" s="36"/>
      <c r="B426" s="36"/>
      <c r="C426" s="77"/>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83"/>
      <c r="AH426" s="83"/>
      <c r="AI426" s="36"/>
      <c r="AK426" s="36"/>
    </row>
    <row r="427" spans="1:37" ht="14.25" customHeight="1">
      <c r="A427" s="36"/>
      <c r="B427" s="36"/>
      <c r="C427" s="77"/>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83"/>
      <c r="AH427" s="83"/>
      <c r="AI427" s="36"/>
      <c r="AK427" s="36"/>
    </row>
    <row r="428" spans="1:37" ht="14.25" customHeight="1">
      <c r="A428" s="36"/>
      <c r="B428" s="36"/>
      <c r="C428" s="77"/>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83"/>
      <c r="AH428" s="83"/>
      <c r="AI428" s="36"/>
      <c r="AK428" s="36"/>
    </row>
    <row r="429" spans="1:37" ht="14.25" customHeight="1">
      <c r="A429" s="36"/>
      <c r="B429" s="36"/>
      <c r="C429" s="77"/>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83"/>
      <c r="AH429" s="83"/>
      <c r="AI429" s="36"/>
      <c r="AK429" s="36"/>
    </row>
    <row r="430" spans="1:37" ht="14.25" customHeight="1">
      <c r="A430" s="36"/>
      <c r="B430" s="36"/>
      <c r="C430" s="77"/>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83"/>
      <c r="AH430" s="83"/>
      <c r="AI430" s="36"/>
      <c r="AK430" s="36"/>
    </row>
    <row r="431" spans="1:37" ht="14.25" customHeight="1">
      <c r="A431" s="36"/>
      <c r="B431" s="36"/>
      <c r="C431" s="77"/>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83"/>
      <c r="AH431" s="83"/>
      <c r="AI431" s="36"/>
      <c r="AK431" s="36"/>
    </row>
    <row r="432" spans="1:37" ht="14.25" customHeight="1">
      <c r="A432" s="36"/>
      <c r="B432" s="36"/>
      <c r="C432" s="77"/>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83"/>
      <c r="AH432" s="83"/>
      <c r="AI432" s="36"/>
      <c r="AK432" s="36"/>
    </row>
    <row r="433" spans="1:37" ht="14.25" customHeight="1">
      <c r="A433" s="36"/>
      <c r="B433" s="36"/>
      <c r="C433" s="77"/>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83"/>
      <c r="AH433" s="83"/>
      <c r="AI433" s="36"/>
      <c r="AK433" s="36"/>
    </row>
    <row r="434" spans="1:37" ht="14.25" customHeight="1">
      <c r="A434" s="36"/>
      <c r="B434" s="36"/>
      <c r="C434" s="77"/>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83"/>
      <c r="AH434" s="83"/>
      <c r="AI434" s="36"/>
      <c r="AK434" s="36"/>
    </row>
    <row r="435" spans="1:37" ht="14.25" customHeight="1">
      <c r="A435" s="36"/>
      <c r="B435" s="36"/>
      <c r="C435" s="77"/>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83"/>
      <c r="AH435" s="83"/>
      <c r="AI435" s="36"/>
      <c r="AK435" s="36"/>
    </row>
    <row r="436" spans="1:37" ht="14.25" customHeight="1">
      <c r="A436" s="36"/>
      <c r="B436" s="36"/>
      <c r="C436" s="77"/>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83"/>
      <c r="AH436" s="83"/>
      <c r="AI436" s="36"/>
      <c r="AK436" s="36"/>
    </row>
    <row r="437" spans="1:37" ht="14.25" customHeight="1">
      <c r="A437" s="36"/>
      <c r="B437" s="36"/>
      <c r="C437" s="77"/>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83"/>
      <c r="AH437" s="83"/>
      <c r="AI437" s="36"/>
      <c r="AK437" s="36"/>
    </row>
    <row r="438" spans="1:37" ht="14.25" customHeight="1">
      <c r="A438" s="36"/>
      <c r="B438" s="36"/>
      <c r="C438" s="77"/>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83"/>
      <c r="AH438" s="83"/>
      <c r="AI438" s="36"/>
      <c r="AK438" s="36"/>
    </row>
    <row r="439" spans="1:37" ht="14.25" customHeight="1">
      <c r="A439" s="36"/>
      <c r="B439" s="36"/>
      <c r="C439" s="77"/>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83"/>
      <c r="AH439" s="83"/>
      <c r="AI439" s="36"/>
      <c r="AK439" s="36"/>
    </row>
    <row r="440" spans="1:37" ht="14.25" customHeight="1">
      <c r="A440" s="36"/>
      <c r="B440" s="36"/>
      <c r="C440" s="77"/>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83"/>
      <c r="AH440" s="83"/>
      <c r="AI440" s="36"/>
      <c r="AK440" s="36"/>
    </row>
    <row r="441" spans="1:37" ht="14.25" customHeight="1">
      <c r="A441" s="36"/>
      <c r="B441" s="36"/>
      <c r="C441" s="77"/>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83"/>
      <c r="AH441" s="83"/>
      <c r="AI441" s="36"/>
      <c r="AK441" s="36"/>
    </row>
    <row r="442" spans="1:37" ht="14.25" customHeight="1">
      <c r="A442" s="36"/>
      <c r="B442" s="36"/>
      <c r="C442" s="77"/>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83"/>
      <c r="AH442" s="83"/>
      <c r="AI442" s="36"/>
      <c r="AK442" s="36"/>
    </row>
    <row r="443" spans="1:37" ht="14.25" customHeight="1">
      <c r="A443" s="36"/>
      <c r="B443" s="36"/>
      <c r="C443" s="77"/>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83"/>
      <c r="AH443" s="83"/>
      <c r="AI443" s="36"/>
      <c r="AK443" s="36"/>
    </row>
    <row r="444" spans="1:37" ht="14.25" customHeight="1">
      <c r="A444" s="36"/>
      <c r="B444" s="36"/>
      <c r="C444" s="77"/>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83"/>
      <c r="AH444" s="83"/>
      <c r="AI444" s="36"/>
      <c r="AK444" s="36"/>
    </row>
    <row r="445" spans="1:37" ht="14.25" customHeight="1">
      <c r="A445" s="36"/>
      <c r="B445" s="36"/>
      <c r="C445" s="77"/>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83"/>
      <c r="AH445" s="83"/>
      <c r="AI445" s="36"/>
      <c r="AK445" s="36"/>
    </row>
    <row r="446" spans="1:37" ht="14.25" customHeight="1">
      <c r="A446" s="36"/>
      <c r="B446" s="36"/>
      <c r="C446" s="77"/>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83"/>
      <c r="AH446" s="83"/>
      <c r="AI446" s="36"/>
      <c r="AK446" s="36"/>
    </row>
    <row r="447" spans="1:37" ht="14.25" customHeight="1">
      <c r="A447" s="36"/>
      <c r="B447" s="36"/>
      <c r="C447" s="77"/>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83"/>
      <c r="AH447" s="83"/>
      <c r="AI447" s="36"/>
      <c r="AK447" s="36"/>
    </row>
    <row r="448" spans="1:37" ht="14.25" customHeight="1">
      <c r="A448" s="36"/>
      <c r="B448" s="36"/>
      <c r="C448" s="77"/>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83"/>
      <c r="AH448" s="83"/>
      <c r="AI448" s="36"/>
      <c r="AK448" s="36"/>
    </row>
    <row r="449" spans="1:37" ht="14.25" customHeight="1">
      <c r="A449" s="36"/>
      <c r="B449" s="36"/>
      <c r="C449" s="77"/>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83"/>
      <c r="AH449" s="83"/>
      <c r="AI449" s="36"/>
      <c r="AK449" s="36"/>
    </row>
    <row r="450" spans="1:37" ht="14.25" customHeight="1">
      <c r="A450" s="36"/>
      <c r="B450" s="36"/>
      <c r="C450" s="77"/>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83"/>
      <c r="AH450" s="83"/>
      <c r="AI450" s="36"/>
      <c r="AK450" s="36"/>
    </row>
    <row r="451" spans="1:37" ht="14.25" customHeight="1">
      <c r="A451" s="36"/>
      <c r="B451" s="36"/>
      <c r="C451" s="77"/>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83"/>
      <c r="AH451" s="83"/>
      <c r="AI451" s="36"/>
      <c r="AK451" s="36"/>
    </row>
    <row r="452" spans="1:37" ht="14.25" customHeight="1">
      <c r="A452" s="36"/>
      <c r="B452" s="36"/>
      <c r="C452" s="77"/>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83"/>
      <c r="AH452" s="83"/>
      <c r="AI452" s="36"/>
      <c r="AK452" s="36"/>
    </row>
    <row r="453" spans="1:37" ht="14.25" customHeight="1">
      <c r="A453" s="36"/>
      <c r="B453" s="36"/>
      <c r="C453" s="77"/>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83"/>
      <c r="AH453" s="83"/>
      <c r="AI453" s="36"/>
      <c r="AK453" s="36"/>
    </row>
    <row r="454" spans="1:37" ht="14.25" customHeight="1">
      <c r="A454" s="36"/>
      <c r="B454" s="36"/>
      <c r="C454" s="77"/>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83"/>
      <c r="AH454" s="83"/>
      <c r="AI454" s="36"/>
      <c r="AK454" s="36"/>
    </row>
    <row r="455" spans="1:37" ht="14.25" customHeight="1">
      <c r="A455" s="36"/>
      <c r="B455" s="36"/>
      <c r="C455" s="77"/>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83"/>
      <c r="AH455" s="83"/>
      <c r="AI455" s="36"/>
      <c r="AK455" s="36"/>
    </row>
    <row r="456" spans="1:37" ht="14.25" customHeight="1">
      <c r="A456" s="36"/>
      <c r="B456" s="36"/>
      <c r="C456" s="77"/>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83"/>
      <c r="AH456" s="83"/>
      <c r="AI456" s="36"/>
      <c r="AK456" s="36"/>
    </row>
    <row r="457" spans="1:37" ht="14.25" customHeight="1">
      <c r="A457" s="36"/>
      <c r="B457" s="36"/>
      <c r="C457" s="77"/>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83"/>
      <c r="AH457" s="83"/>
      <c r="AI457" s="36"/>
      <c r="AK457" s="36"/>
    </row>
    <row r="458" spans="1:37" ht="14.25" customHeight="1">
      <c r="A458" s="36"/>
      <c r="B458" s="36"/>
      <c r="C458" s="77"/>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83"/>
      <c r="AH458" s="83"/>
      <c r="AI458" s="36"/>
      <c r="AK458" s="36"/>
    </row>
    <row r="459" spans="1:37" ht="14.25" customHeight="1">
      <c r="A459" s="36"/>
      <c r="B459" s="36"/>
      <c r="C459" s="77"/>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83"/>
      <c r="AH459" s="83"/>
      <c r="AI459" s="36"/>
      <c r="AK459" s="36"/>
    </row>
    <row r="460" spans="1:37" ht="14.25" customHeight="1">
      <c r="A460" s="36"/>
      <c r="B460" s="36"/>
      <c r="C460" s="77"/>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83"/>
      <c r="AH460" s="83"/>
      <c r="AI460" s="36"/>
      <c r="AK460" s="36"/>
    </row>
    <row r="461" spans="1:37" ht="14.25" customHeight="1">
      <c r="A461" s="36"/>
      <c r="B461" s="36"/>
      <c r="C461" s="77"/>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83"/>
      <c r="AH461" s="83"/>
      <c r="AI461" s="36"/>
      <c r="AK461" s="36"/>
    </row>
    <row r="462" spans="1:37" ht="14.25" customHeight="1">
      <c r="A462" s="36"/>
      <c r="B462" s="36"/>
      <c r="C462" s="77"/>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83"/>
      <c r="AH462" s="83"/>
      <c r="AI462" s="36"/>
      <c r="AK462" s="36"/>
    </row>
    <row r="463" spans="1:37" ht="14.25" customHeight="1">
      <c r="A463" s="36"/>
      <c r="B463" s="36"/>
      <c r="C463" s="77"/>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83"/>
      <c r="AH463" s="83"/>
      <c r="AI463" s="36"/>
      <c r="AK463" s="36"/>
    </row>
    <row r="464" spans="1:37" ht="14.25" customHeight="1">
      <c r="A464" s="36"/>
      <c r="B464" s="36"/>
      <c r="C464" s="77"/>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83"/>
      <c r="AH464" s="83"/>
      <c r="AI464" s="36"/>
      <c r="AK464" s="36"/>
    </row>
    <row r="465" spans="1:37" ht="14.25" customHeight="1">
      <c r="A465" s="36"/>
      <c r="B465" s="36"/>
      <c r="C465" s="77"/>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83"/>
      <c r="AH465" s="83"/>
      <c r="AI465" s="36"/>
      <c r="AK465" s="36"/>
    </row>
    <row r="466" spans="1:37" ht="14.25" customHeight="1">
      <c r="A466" s="36"/>
      <c r="B466" s="36"/>
      <c r="C466" s="77"/>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83"/>
      <c r="AH466" s="83"/>
      <c r="AI466" s="36"/>
      <c r="AK466" s="36"/>
    </row>
    <row r="467" spans="1:37" ht="14.25" customHeight="1">
      <c r="A467" s="36"/>
      <c r="B467" s="36"/>
      <c r="C467" s="77"/>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83"/>
      <c r="AH467" s="83"/>
      <c r="AI467" s="36"/>
      <c r="AK467" s="36"/>
    </row>
    <row r="468" spans="1:37" ht="14.25" customHeight="1">
      <c r="A468" s="36"/>
      <c r="B468" s="36"/>
      <c r="C468" s="77"/>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83"/>
      <c r="AH468" s="83"/>
      <c r="AI468" s="36"/>
      <c r="AK468" s="36"/>
    </row>
    <row r="469" spans="1:37" ht="14.25" customHeight="1">
      <c r="A469" s="36"/>
      <c r="B469" s="36"/>
      <c r="C469" s="77"/>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83"/>
      <c r="AH469" s="83"/>
      <c r="AI469" s="36"/>
      <c r="AK469" s="36"/>
    </row>
    <row r="470" spans="1:37" ht="14.25" customHeight="1">
      <c r="A470" s="36"/>
      <c r="B470" s="36"/>
      <c r="C470" s="77"/>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83"/>
      <c r="AH470" s="83"/>
      <c r="AI470" s="36"/>
      <c r="AK470" s="36"/>
    </row>
    <row r="471" spans="1:37" ht="14.25" customHeight="1">
      <c r="A471" s="36"/>
      <c r="B471" s="36"/>
      <c r="C471" s="77"/>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83"/>
      <c r="AH471" s="83"/>
      <c r="AI471" s="36"/>
      <c r="AK471" s="36"/>
    </row>
    <row r="472" spans="1:37" ht="14.25" customHeight="1">
      <c r="A472" s="36"/>
      <c r="B472" s="36"/>
      <c r="C472" s="77"/>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83"/>
      <c r="AH472" s="83"/>
      <c r="AI472" s="36"/>
      <c r="AK472" s="36"/>
    </row>
    <row r="473" spans="1:37" ht="14.25" customHeight="1">
      <c r="A473" s="36"/>
      <c r="B473" s="36"/>
      <c r="C473" s="77"/>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83"/>
      <c r="AH473" s="83"/>
      <c r="AI473" s="36"/>
      <c r="AK473" s="36"/>
    </row>
    <row r="474" spans="1:37" ht="14.25" customHeight="1">
      <c r="A474" s="36"/>
      <c r="B474" s="36"/>
      <c r="C474" s="77"/>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83"/>
      <c r="AH474" s="83"/>
      <c r="AI474" s="36"/>
      <c r="AK474" s="36"/>
    </row>
    <row r="475" spans="1:37" ht="14.25" customHeight="1">
      <c r="A475" s="36"/>
      <c r="B475" s="36"/>
      <c r="C475" s="77"/>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83"/>
      <c r="AH475" s="83"/>
      <c r="AI475" s="36"/>
      <c r="AK475" s="36"/>
    </row>
    <row r="476" spans="1:37" ht="14.25" customHeight="1">
      <c r="A476" s="36"/>
      <c r="B476" s="36"/>
      <c r="C476" s="77"/>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83"/>
      <c r="AH476" s="83"/>
      <c r="AI476" s="36"/>
      <c r="AK476" s="36"/>
    </row>
    <row r="477" spans="1:37" ht="14.25" customHeight="1">
      <c r="A477" s="36"/>
      <c r="B477" s="36"/>
      <c r="C477" s="77"/>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83"/>
      <c r="AH477" s="83"/>
      <c r="AI477" s="36"/>
      <c r="AK477" s="36"/>
    </row>
    <row r="478" spans="1:37" ht="14.25" customHeight="1">
      <c r="A478" s="36"/>
      <c r="B478" s="36"/>
      <c r="C478" s="77"/>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83"/>
      <c r="AH478" s="83"/>
      <c r="AI478" s="36"/>
      <c r="AK478" s="36"/>
    </row>
    <row r="479" spans="1:37" ht="14.25" customHeight="1">
      <c r="A479" s="36"/>
      <c r="B479" s="36"/>
      <c r="C479" s="77"/>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83"/>
      <c r="AH479" s="83"/>
      <c r="AI479" s="36"/>
      <c r="AK479" s="36"/>
    </row>
    <row r="480" spans="1:37" ht="14.25" customHeight="1">
      <c r="A480" s="36"/>
      <c r="B480" s="36"/>
      <c r="C480" s="77"/>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83"/>
      <c r="AH480" s="83"/>
      <c r="AI480" s="36"/>
      <c r="AK480" s="36"/>
    </row>
    <row r="481" spans="1:37" ht="14.25" customHeight="1">
      <c r="A481" s="36"/>
      <c r="B481" s="36"/>
      <c r="C481" s="77"/>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83"/>
      <c r="AH481" s="83"/>
      <c r="AI481" s="36"/>
      <c r="AK481" s="36"/>
    </row>
    <row r="482" spans="1:37" ht="14.25" customHeight="1">
      <c r="A482" s="36"/>
      <c r="B482" s="36"/>
      <c r="C482" s="77"/>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83"/>
      <c r="AH482" s="83"/>
      <c r="AI482" s="36"/>
      <c r="AK482" s="36"/>
    </row>
    <row r="483" spans="1:37" ht="14.25" customHeight="1">
      <c r="A483" s="36"/>
      <c r="B483" s="36"/>
      <c r="C483" s="77"/>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83"/>
      <c r="AH483" s="83"/>
      <c r="AI483" s="36"/>
      <c r="AK483" s="36"/>
    </row>
    <row r="484" spans="1:37" ht="14.25" customHeight="1">
      <c r="A484" s="36"/>
      <c r="B484" s="36"/>
      <c r="C484" s="77"/>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83"/>
      <c r="AH484" s="83"/>
      <c r="AI484" s="36"/>
      <c r="AK484" s="36"/>
    </row>
    <row r="485" spans="1:37" ht="14.25" customHeight="1">
      <c r="A485" s="36"/>
      <c r="B485" s="36"/>
      <c r="C485" s="77"/>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83"/>
      <c r="AH485" s="83"/>
      <c r="AI485" s="36"/>
      <c r="AK485" s="36"/>
    </row>
    <row r="486" spans="1:37" ht="14.25" customHeight="1">
      <c r="A486" s="36"/>
      <c r="B486" s="36"/>
      <c r="C486" s="77"/>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83"/>
      <c r="AH486" s="83"/>
      <c r="AI486" s="36"/>
      <c r="AK486" s="36"/>
    </row>
    <row r="487" spans="1:37" ht="14.25" customHeight="1">
      <c r="A487" s="36"/>
      <c r="B487" s="36"/>
      <c r="C487" s="77"/>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83"/>
      <c r="AH487" s="83"/>
      <c r="AI487" s="36"/>
      <c r="AK487" s="36"/>
    </row>
    <row r="488" spans="1:37" ht="14.25" customHeight="1">
      <c r="A488" s="36"/>
      <c r="B488" s="36"/>
      <c r="C488" s="77"/>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83"/>
      <c r="AH488" s="83"/>
      <c r="AI488" s="36"/>
      <c r="AK488" s="36"/>
    </row>
    <row r="489" spans="1:37" ht="14.25" customHeight="1">
      <c r="A489" s="36"/>
      <c r="B489" s="36"/>
      <c r="C489" s="77"/>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83"/>
      <c r="AH489" s="83"/>
      <c r="AI489" s="36"/>
      <c r="AK489" s="36"/>
    </row>
    <row r="490" spans="1:37" ht="14.25" customHeight="1">
      <c r="A490" s="36"/>
      <c r="B490" s="36"/>
      <c r="C490" s="77"/>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83"/>
      <c r="AH490" s="83"/>
      <c r="AI490" s="36"/>
      <c r="AK490" s="36"/>
    </row>
    <row r="491" spans="1:37" ht="14.25" customHeight="1">
      <c r="A491" s="36"/>
      <c r="B491" s="36"/>
      <c r="C491" s="77"/>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83"/>
      <c r="AH491" s="83"/>
      <c r="AI491" s="36"/>
      <c r="AK491" s="36"/>
    </row>
    <row r="492" spans="1:37" ht="14.25" customHeight="1">
      <c r="A492" s="36"/>
      <c r="B492" s="36"/>
      <c r="C492" s="77"/>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83"/>
      <c r="AH492" s="83"/>
      <c r="AI492" s="36"/>
      <c r="AK492" s="36"/>
    </row>
    <row r="493" spans="1:37" ht="14.25" customHeight="1">
      <c r="A493" s="36"/>
      <c r="B493" s="36"/>
      <c r="C493" s="77"/>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83"/>
      <c r="AH493" s="83"/>
      <c r="AI493" s="36"/>
      <c r="AK493" s="36"/>
    </row>
    <row r="494" spans="1:37" ht="14.25" customHeight="1">
      <c r="A494" s="36"/>
      <c r="B494" s="36"/>
      <c r="C494" s="77"/>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83"/>
      <c r="AH494" s="83"/>
      <c r="AI494" s="36"/>
      <c r="AK494" s="36"/>
    </row>
    <row r="495" spans="1:37" ht="14.25" customHeight="1">
      <c r="A495" s="36"/>
      <c r="B495" s="36"/>
      <c r="C495" s="77"/>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83"/>
      <c r="AH495" s="83"/>
      <c r="AI495" s="36"/>
      <c r="AK495" s="36"/>
    </row>
    <row r="496" spans="1:37" ht="14.25" customHeight="1">
      <c r="A496" s="36"/>
      <c r="B496" s="36"/>
      <c r="C496" s="77"/>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83"/>
      <c r="AH496" s="83"/>
      <c r="AI496" s="36"/>
      <c r="AK496" s="36"/>
    </row>
    <row r="497" spans="1:37" ht="14.25" customHeight="1">
      <c r="A497" s="36"/>
      <c r="B497" s="36"/>
      <c r="C497" s="77"/>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83"/>
      <c r="AH497" s="83"/>
      <c r="AI497" s="36"/>
      <c r="AK497" s="36"/>
    </row>
    <row r="498" spans="1:37" ht="14.25" customHeight="1">
      <c r="A498" s="36"/>
      <c r="B498" s="36"/>
      <c r="C498" s="77"/>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83"/>
      <c r="AH498" s="83"/>
      <c r="AI498" s="36"/>
      <c r="AK498" s="36"/>
    </row>
    <row r="499" spans="1:37" ht="14.25" customHeight="1">
      <c r="A499" s="36"/>
      <c r="B499" s="36"/>
      <c r="C499" s="77"/>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83"/>
      <c r="AH499" s="83"/>
      <c r="AI499" s="36"/>
      <c r="AK499" s="36"/>
    </row>
    <row r="500" spans="1:37" ht="14.25" customHeight="1">
      <c r="A500" s="36"/>
      <c r="B500" s="36"/>
      <c r="C500" s="77"/>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83"/>
      <c r="AH500" s="83"/>
      <c r="AI500" s="36"/>
      <c r="AK500" s="36"/>
    </row>
    <row r="501" spans="1:37" ht="14.25" customHeight="1">
      <c r="A501" s="36"/>
      <c r="B501" s="36"/>
      <c r="C501" s="77"/>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83"/>
      <c r="AH501" s="83"/>
      <c r="AI501" s="36"/>
      <c r="AK501" s="36"/>
    </row>
    <row r="502" spans="1:37" ht="14.25" customHeight="1">
      <c r="A502" s="36"/>
      <c r="B502" s="36"/>
      <c r="C502" s="77"/>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83"/>
      <c r="AH502" s="83"/>
      <c r="AI502" s="36"/>
      <c r="AK502" s="36"/>
    </row>
    <row r="503" spans="1:37" ht="14.25" customHeight="1">
      <c r="A503" s="36"/>
      <c r="B503" s="36"/>
      <c r="C503" s="77"/>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83"/>
      <c r="AH503" s="83"/>
      <c r="AI503" s="36"/>
      <c r="AK503" s="36"/>
    </row>
    <row r="504" spans="1:37" ht="14.25" customHeight="1">
      <c r="A504" s="36"/>
      <c r="B504" s="36"/>
      <c r="C504" s="77"/>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83"/>
      <c r="AH504" s="83"/>
      <c r="AI504" s="36"/>
      <c r="AK504" s="36"/>
    </row>
    <row r="505" spans="1:37" ht="14.25" customHeight="1">
      <c r="A505" s="36"/>
      <c r="B505" s="36"/>
      <c r="C505" s="77"/>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83"/>
      <c r="AH505" s="83"/>
      <c r="AI505" s="36"/>
      <c r="AK505" s="36"/>
    </row>
    <row r="506" spans="1:37" ht="14.25" customHeight="1">
      <c r="A506" s="36"/>
      <c r="B506" s="36"/>
      <c r="C506" s="77"/>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83"/>
      <c r="AH506" s="83"/>
      <c r="AI506" s="36"/>
      <c r="AK506" s="36"/>
    </row>
    <row r="507" spans="1:37" ht="14.25" customHeight="1">
      <c r="A507" s="36"/>
      <c r="B507" s="36"/>
      <c r="C507" s="77"/>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83"/>
      <c r="AH507" s="83"/>
      <c r="AI507" s="36"/>
      <c r="AK507" s="36"/>
    </row>
    <row r="508" spans="1:37" ht="14.25" customHeight="1">
      <c r="A508" s="36"/>
      <c r="B508" s="36"/>
      <c r="C508" s="77"/>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83"/>
      <c r="AH508" s="83"/>
      <c r="AI508" s="36"/>
      <c r="AK508" s="36"/>
    </row>
    <row r="509" spans="1:37" ht="14.25" customHeight="1">
      <c r="A509" s="36"/>
      <c r="B509" s="36"/>
      <c r="C509" s="77"/>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83"/>
      <c r="AH509" s="83"/>
      <c r="AI509" s="36"/>
      <c r="AK509" s="36"/>
    </row>
    <row r="510" spans="1:37" ht="14.25" customHeight="1">
      <c r="A510" s="36"/>
      <c r="B510" s="36"/>
      <c r="C510" s="77"/>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83"/>
      <c r="AH510" s="83"/>
      <c r="AI510" s="36"/>
      <c r="AK510" s="36"/>
    </row>
    <row r="511" spans="1:37" ht="14.25" customHeight="1">
      <c r="A511" s="36"/>
      <c r="B511" s="36"/>
      <c r="C511" s="77"/>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83"/>
      <c r="AH511" s="83"/>
      <c r="AI511" s="36"/>
      <c r="AK511" s="36"/>
    </row>
    <row r="512" spans="1:37" ht="14.25" customHeight="1">
      <c r="A512" s="36"/>
      <c r="B512" s="36"/>
      <c r="C512" s="77"/>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83"/>
      <c r="AH512" s="83"/>
      <c r="AI512" s="36"/>
      <c r="AK512" s="36"/>
    </row>
    <row r="513" spans="1:37" ht="14.25" customHeight="1">
      <c r="A513" s="36"/>
      <c r="B513" s="36"/>
      <c r="C513" s="77"/>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83"/>
      <c r="AH513" s="83"/>
      <c r="AI513" s="36"/>
      <c r="AK513" s="36"/>
    </row>
    <row r="514" spans="1:37" ht="14.25" customHeight="1">
      <c r="A514" s="36"/>
      <c r="B514" s="36"/>
      <c r="C514" s="77"/>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83"/>
      <c r="AH514" s="83"/>
      <c r="AI514" s="36"/>
      <c r="AK514" s="36"/>
    </row>
    <row r="515" spans="1:37" ht="14.25" customHeight="1">
      <c r="A515" s="36"/>
      <c r="B515" s="36"/>
      <c r="C515" s="77"/>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83"/>
      <c r="AH515" s="83"/>
      <c r="AI515" s="36"/>
      <c r="AK515" s="36"/>
    </row>
    <row r="516" spans="1:37" ht="14.25" customHeight="1">
      <c r="A516" s="36"/>
      <c r="B516" s="36"/>
      <c r="C516" s="77"/>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83"/>
      <c r="AH516" s="83"/>
      <c r="AI516" s="36"/>
      <c r="AK516" s="36"/>
    </row>
    <row r="517" spans="1:37" ht="14.25" customHeight="1">
      <c r="A517" s="36"/>
      <c r="B517" s="36"/>
      <c r="C517" s="77"/>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83"/>
      <c r="AH517" s="83"/>
      <c r="AI517" s="36"/>
      <c r="AK517" s="36"/>
    </row>
    <row r="518" spans="1:37" ht="14.25" customHeight="1">
      <c r="A518" s="36"/>
      <c r="B518" s="36"/>
      <c r="C518" s="77"/>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83"/>
      <c r="AH518" s="83"/>
      <c r="AI518" s="36"/>
      <c r="AK518" s="36"/>
    </row>
    <row r="519" spans="1:37" ht="14.25" customHeight="1">
      <c r="A519" s="36"/>
      <c r="B519" s="36"/>
      <c r="C519" s="77"/>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83"/>
      <c r="AH519" s="83"/>
      <c r="AI519" s="36"/>
      <c r="AK519" s="36"/>
    </row>
    <row r="520" spans="1:37" ht="14.25" customHeight="1">
      <c r="A520" s="36"/>
      <c r="B520" s="36"/>
      <c r="C520" s="77"/>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83"/>
      <c r="AH520" s="83"/>
      <c r="AI520" s="36"/>
      <c r="AK520" s="36"/>
    </row>
    <row r="521" spans="1:37" ht="14.25" customHeight="1">
      <c r="A521" s="36"/>
      <c r="B521" s="36"/>
      <c r="C521" s="77"/>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83"/>
      <c r="AH521" s="83"/>
      <c r="AI521" s="36"/>
      <c r="AK521" s="36"/>
    </row>
    <row r="522" spans="1:37" ht="14.25" customHeight="1">
      <c r="A522" s="36"/>
      <c r="B522" s="36"/>
      <c r="C522" s="77"/>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83"/>
      <c r="AH522" s="83"/>
      <c r="AI522" s="36"/>
      <c r="AK522" s="36"/>
    </row>
    <row r="523" spans="1:37" ht="14.25" customHeight="1">
      <c r="A523" s="36"/>
      <c r="B523" s="36"/>
      <c r="C523" s="77"/>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83"/>
      <c r="AH523" s="83"/>
      <c r="AI523" s="36"/>
      <c r="AK523" s="36"/>
    </row>
    <row r="524" spans="1:37" ht="14.25" customHeight="1">
      <c r="A524" s="36"/>
      <c r="B524" s="36"/>
      <c r="C524" s="77"/>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83"/>
      <c r="AH524" s="83"/>
      <c r="AI524" s="36"/>
      <c r="AK524" s="36"/>
    </row>
    <row r="525" spans="1:37" ht="14.25" customHeight="1">
      <c r="A525" s="36"/>
      <c r="B525" s="36"/>
      <c r="C525" s="77"/>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83"/>
      <c r="AH525" s="83"/>
      <c r="AI525" s="36"/>
      <c r="AK525" s="36"/>
    </row>
    <row r="526" spans="1:37" ht="14.25" customHeight="1">
      <c r="A526" s="36"/>
      <c r="B526" s="36"/>
      <c r="C526" s="77"/>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83"/>
      <c r="AH526" s="83"/>
      <c r="AI526" s="36"/>
      <c r="AK526" s="36"/>
    </row>
    <row r="527" spans="1:37" ht="14.25" customHeight="1">
      <c r="A527" s="36"/>
      <c r="B527" s="36"/>
      <c r="C527" s="77"/>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83"/>
      <c r="AH527" s="83"/>
      <c r="AI527" s="36"/>
      <c r="AK527" s="36"/>
    </row>
    <row r="528" spans="1:37" ht="14.25" customHeight="1">
      <c r="A528" s="36"/>
      <c r="B528" s="36"/>
      <c r="C528" s="77"/>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83"/>
      <c r="AH528" s="83"/>
      <c r="AI528" s="36"/>
      <c r="AK528" s="36"/>
    </row>
    <row r="529" spans="1:37" ht="14.25" customHeight="1">
      <c r="A529" s="36"/>
      <c r="B529" s="36"/>
      <c r="C529" s="77"/>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83"/>
      <c r="AH529" s="83"/>
      <c r="AI529" s="36"/>
      <c r="AK529" s="36"/>
    </row>
    <row r="530" spans="1:37" ht="14.25" customHeight="1">
      <c r="A530" s="36"/>
      <c r="B530" s="36"/>
      <c r="C530" s="77"/>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83"/>
      <c r="AH530" s="83"/>
      <c r="AI530" s="36"/>
      <c r="AK530" s="36"/>
    </row>
    <row r="531" spans="1:37" ht="14.25" customHeight="1">
      <c r="A531" s="36"/>
      <c r="B531" s="36"/>
      <c r="C531" s="77"/>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83"/>
      <c r="AH531" s="83"/>
      <c r="AI531" s="36"/>
      <c r="AK531" s="36"/>
    </row>
    <row r="532" spans="1:37" ht="14.25" customHeight="1">
      <c r="A532" s="36"/>
      <c r="B532" s="36"/>
      <c r="C532" s="77"/>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83"/>
      <c r="AH532" s="83"/>
      <c r="AI532" s="36"/>
      <c r="AK532" s="36"/>
    </row>
    <row r="533" spans="1:37" ht="14.25" customHeight="1">
      <c r="A533" s="36"/>
      <c r="B533" s="36"/>
      <c r="C533" s="77"/>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83"/>
      <c r="AH533" s="83"/>
      <c r="AI533" s="36"/>
      <c r="AK533" s="36"/>
    </row>
    <row r="534" spans="1:37" ht="14.25" customHeight="1">
      <c r="A534" s="36"/>
      <c r="B534" s="36"/>
      <c r="C534" s="77"/>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83"/>
      <c r="AH534" s="83"/>
      <c r="AI534" s="36"/>
      <c r="AK534" s="36"/>
    </row>
    <row r="535" spans="1:37" ht="14.25" customHeight="1">
      <c r="A535" s="36"/>
      <c r="B535" s="36"/>
      <c r="C535" s="77"/>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83"/>
      <c r="AH535" s="83"/>
      <c r="AI535" s="36"/>
      <c r="AK535" s="36"/>
    </row>
    <row r="536" spans="1:37" ht="14.25" customHeight="1">
      <c r="A536" s="36"/>
      <c r="B536" s="36"/>
      <c r="C536" s="77"/>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83"/>
      <c r="AH536" s="83"/>
      <c r="AI536" s="36"/>
      <c r="AK536" s="36"/>
    </row>
    <row r="537" spans="1:37" ht="14.25" customHeight="1">
      <c r="A537" s="36"/>
      <c r="B537" s="36"/>
      <c r="C537" s="77"/>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83"/>
      <c r="AH537" s="83"/>
      <c r="AI537" s="36"/>
      <c r="AK537" s="36"/>
    </row>
    <row r="538" spans="1:37" ht="14.25" customHeight="1">
      <c r="A538" s="36"/>
      <c r="B538" s="36"/>
      <c r="C538" s="77"/>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83"/>
      <c r="AH538" s="83"/>
      <c r="AI538" s="36"/>
      <c r="AK538" s="36"/>
    </row>
    <row r="539" spans="1:37" ht="14.25" customHeight="1">
      <c r="A539" s="36"/>
      <c r="B539" s="36"/>
      <c r="C539" s="77"/>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83"/>
      <c r="AH539" s="83"/>
      <c r="AI539" s="36"/>
      <c r="AK539" s="36"/>
    </row>
    <row r="540" spans="1:37" ht="14.25" customHeight="1">
      <c r="A540" s="36"/>
      <c r="B540" s="36"/>
      <c r="C540" s="77"/>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83"/>
      <c r="AH540" s="83"/>
      <c r="AI540" s="36"/>
      <c r="AK540" s="36"/>
    </row>
    <row r="541" spans="1:37" ht="14.25" customHeight="1">
      <c r="A541" s="36"/>
      <c r="B541" s="36"/>
      <c r="C541" s="77"/>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83"/>
      <c r="AH541" s="83"/>
      <c r="AI541" s="36"/>
      <c r="AK541" s="36"/>
    </row>
    <row r="542" spans="1:37" ht="14.25" customHeight="1">
      <c r="A542" s="36"/>
      <c r="B542" s="36"/>
      <c r="C542" s="77"/>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83"/>
      <c r="AH542" s="83"/>
      <c r="AI542" s="36"/>
      <c r="AK542" s="36"/>
    </row>
    <row r="543" spans="1:37" ht="14.25" customHeight="1">
      <c r="A543" s="36"/>
      <c r="B543" s="36"/>
      <c r="C543" s="77"/>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83"/>
      <c r="AH543" s="83"/>
      <c r="AI543" s="36"/>
      <c r="AK543" s="36"/>
    </row>
    <row r="544" spans="1:37" ht="14.25" customHeight="1">
      <c r="A544" s="36"/>
      <c r="B544" s="36"/>
      <c r="C544" s="77"/>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83"/>
      <c r="AH544" s="83"/>
      <c r="AI544" s="36"/>
      <c r="AK544" s="36"/>
    </row>
    <row r="545" spans="1:37" ht="14.25" customHeight="1">
      <c r="A545" s="36"/>
      <c r="B545" s="36"/>
      <c r="C545" s="77"/>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83"/>
      <c r="AH545" s="83"/>
      <c r="AI545" s="36"/>
      <c r="AK545" s="36"/>
    </row>
    <row r="546" spans="1:37" ht="14.25" customHeight="1">
      <c r="A546" s="36"/>
      <c r="B546" s="36"/>
      <c r="C546" s="77"/>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83"/>
      <c r="AH546" s="83"/>
      <c r="AI546" s="36"/>
      <c r="AK546" s="36"/>
    </row>
    <row r="547" spans="1:37" ht="14.25" customHeight="1">
      <c r="A547" s="36"/>
      <c r="B547" s="36"/>
      <c r="C547" s="77"/>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83"/>
      <c r="AH547" s="83"/>
      <c r="AI547" s="36"/>
      <c r="AK547" s="36"/>
    </row>
    <row r="548" spans="1:37" ht="14.25" customHeight="1">
      <c r="A548" s="36"/>
      <c r="B548" s="36"/>
      <c r="C548" s="77"/>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83"/>
      <c r="AH548" s="83"/>
      <c r="AI548" s="36"/>
      <c r="AK548" s="36"/>
    </row>
    <row r="549" spans="1:37" ht="14.25" customHeight="1">
      <c r="A549" s="36"/>
      <c r="B549" s="36"/>
      <c r="C549" s="77"/>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83"/>
      <c r="AH549" s="83"/>
      <c r="AI549" s="36"/>
      <c r="AK549" s="36"/>
    </row>
    <row r="550" spans="1:37" ht="14.25" customHeight="1">
      <c r="A550" s="36"/>
      <c r="B550" s="36"/>
      <c r="C550" s="77"/>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83"/>
      <c r="AH550" s="83"/>
      <c r="AI550" s="36"/>
      <c r="AK550" s="36"/>
    </row>
    <row r="551" spans="1:37" ht="14.25" customHeight="1">
      <c r="A551" s="36"/>
      <c r="B551" s="36"/>
      <c r="C551" s="77"/>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83"/>
      <c r="AH551" s="83"/>
      <c r="AI551" s="36"/>
      <c r="AK551" s="36"/>
    </row>
    <row r="552" spans="1:37" ht="14.25" customHeight="1">
      <c r="A552" s="36"/>
      <c r="B552" s="36"/>
      <c r="C552" s="77"/>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83"/>
      <c r="AH552" s="83"/>
      <c r="AI552" s="36"/>
      <c r="AK552" s="36"/>
    </row>
    <row r="553" spans="1:37" ht="14.25" customHeight="1">
      <c r="A553" s="36"/>
      <c r="B553" s="36"/>
      <c r="C553" s="77"/>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83"/>
      <c r="AH553" s="83"/>
      <c r="AI553" s="36"/>
      <c r="AK553" s="36"/>
    </row>
    <row r="554" spans="1:37" ht="14.25" customHeight="1">
      <c r="A554" s="36"/>
      <c r="B554" s="36"/>
      <c r="C554" s="77"/>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83"/>
      <c r="AH554" s="83"/>
      <c r="AI554" s="36"/>
      <c r="AK554" s="36"/>
    </row>
    <row r="555" spans="1:37" ht="14.25" customHeight="1">
      <c r="A555" s="36"/>
      <c r="B555" s="36"/>
      <c r="C555" s="77"/>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83"/>
      <c r="AH555" s="83"/>
      <c r="AI555" s="36"/>
      <c r="AK555" s="36"/>
    </row>
    <row r="556" spans="1:37" ht="14.25" customHeight="1">
      <c r="A556" s="36"/>
      <c r="B556" s="36"/>
      <c r="C556" s="77"/>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83"/>
      <c r="AH556" s="83"/>
      <c r="AI556" s="36"/>
      <c r="AK556" s="36"/>
    </row>
    <row r="557" spans="1:37" ht="14.25" customHeight="1">
      <c r="A557" s="36"/>
      <c r="B557" s="36"/>
      <c r="C557" s="77"/>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83"/>
      <c r="AH557" s="83"/>
      <c r="AI557" s="36"/>
      <c r="AK557" s="36"/>
    </row>
    <row r="558" spans="1:37" ht="14.25" customHeight="1">
      <c r="A558" s="36"/>
      <c r="B558" s="36"/>
      <c r="C558" s="77"/>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83"/>
      <c r="AH558" s="83"/>
      <c r="AI558" s="36"/>
      <c r="AK558" s="36"/>
    </row>
    <row r="559" spans="1:37" ht="14.25" customHeight="1">
      <c r="A559" s="36"/>
      <c r="B559" s="36"/>
      <c r="C559" s="77"/>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83"/>
      <c r="AH559" s="83"/>
      <c r="AI559" s="36"/>
      <c r="AK559" s="36"/>
    </row>
    <row r="560" spans="1:37" ht="14.25" customHeight="1">
      <c r="A560" s="36"/>
      <c r="B560" s="36"/>
      <c r="C560" s="77"/>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83"/>
      <c r="AH560" s="83"/>
      <c r="AI560" s="36"/>
      <c r="AK560" s="36"/>
    </row>
    <row r="561" spans="1:37" ht="14.25" customHeight="1">
      <c r="A561" s="36"/>
      <c r="B561" s="36"/>
      <c r="C561" s="77"/>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83"/>
      <c r="AH561" s="83"/>
      <c r="AI561" s="36"/>
      <c r="AK561" s="36"/>
    </row>
    <row r="562" spans="1:37" ht="14.25" customHeight="1">
      <c r="A562" s="36"/>
      <c r="B562" s="36"/>
      <c r="C562" s="77"/>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83"/>
      <c r="AH562" s="83"/>
      <c r="AI562" s="36"/>
      <c r="AK562" s="36"/>
    </row>
    <row r="563" spans="1:37" ht="14.25" customHeight="1">
      <c r="A563" s="36"/>
      <c r="B563" s="36"/>
      <c r="C563" s="77"/>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83"/>
      <c r="AH563" s="83"/>
      <c r="AI563" s="36"/>
      <c r="AK563" s="36"/>
    </row>
    <row r="564" spans="1:37" ht="14.25" customHeight="1">
      <c r="A564" s="36"/>
      <c r="B564" s="36"/>
      <c r="C564" s="77"/>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83"/>
      <c r="AH564" s="83"/>
      <c r="AI564" s="36"/>
      <c r="AK564" s="36"/>
    </row>
    <row r="565" spans="1:37" ht="14.25" customHeight="1">
      <c r="A565" s="36"/>
      <c r="B565" s="36"/>
      <c r="C565" s="77"/>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83"/>
      <c r="AH565" s="83"/>
      <c r="AI565" s="36"/>
      <c r="AK565" s="36"/>
    </row>
    <row r="566" spans="1:37" ht="14.25" customHeight="1">
      <c r="A566" s="36"/>
      <c r="B566" s="36"/>
      <c r="C566" s="77"/>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83"/>
      <c r="AH566" s="83"/>
      <c r="AI566" s="36"/>
      <c r="AK566" s="36"/>
    </row>
    <row r="567" spans="1:37" ht="14.25" customHeight="1">
      <c r="A567" s="36"/>
      <c r="B567" s="36"/>
      <c r="C567" s="77"/>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83"/>
      <c r="AH567" s="83"/>
      <c r="AI567" s="36"/>
      <c r="AK567" s="36"/>
    </row>
    <row r="568" spans="1:37" ht="14.25" customHeight="1">
      <c r="A568" s="36"/>
      <c r="B568" s="36"/>
      <c r="C568" s="77"/>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83"/>
      <c r="AH568" s="83"/>
      <c r="AI568" s="36"/>
      <c r="AK568" s="36"/>
    </row>
    <row r="569" spans="1:37" ht="14.25" customHeight="1">
      <c r="A569" s="36"/>
      <c r="B569" s="36"/>
      <c r="C569" s="77"/>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83"/>
      <c r="AH569" s="83"/>
      <c r="AI569" s="36"/>
      <c r="AK569" s="36"/>
    </row>
    <row r="570" spans="1:37" ht="14.25" customHeight="1">
      <c r="A570" s="36"/>
      <c r="B570" s="36"/>
      <c r="C570" s="77"/>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83"/>
      <c r="AH570" s="83"/>
      <c r="AI570" s="36"/>
      <c r="AK570" s="36"/>
    </row>
    <row r="571" spans="1:37" ht="14.25" customHeight="1">
      <c r="A571" s="36"/>
      <c r="B571" s="36"/>
      <c r="C571" s="77"/>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83"/>
      <c r="AH571" s="83"/>
      <c r="AI571" s="36"/>
      <c r="AK571" s="36"/>
    </row>
    <row r="572" spans="1:37" ht="14.25" customHeight="1">
      <c r="A572" s="36"/>
      <c r="B572" s="36"/>
      <c r="C572" s="77"/>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83"/>
      <c r="AH572" s="83"/>
      <c r="AI572" s="36"/>
      <c r="AK572" s="36"/>
    </row>
    <row r="573" spans="1:37" ht="14.25" customHeight="1">
      <c r="A573" s="36"/>
      <c r="B573" s="36"/>
      <c r="C573" s="77"/>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83"/>
      <c r="AH573" s="83"/>
      <c r="AI573" s="36"/>
      <c r="AK573" s="36"/>
    </row>
    <row r="574" spans="1:37" ht="14.25" customHeight="1">
      <c r="A574" s="36"/>
      <c r="B574" s="36"/>
      <c r="C574" s="77"/>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83"/>
      <c r="AH574" s="83"/>
      <c r="AI574" s="36"/>
      <c r="AK574" s="36"/>
    </row>
    <row r="575" spans="1:37" ht="14.25" customHeight="1">
      <c r="A575" s="36"/>
      <c r="B575" s="36"/>
      <c r="C575" s="77"/>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83"/>
      <c r="AH575" s="83"/>
      <c r="AI575" s="36"/>
      <c r="AK575" s="36"/>
    </row>
    <row r="576" spans="1:37" ht="14.25" customHeight="1">
      <c r="A576" s="36"/>
      <c r="B576" s="36"/>
      <c r="C576" s="77"/>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83"/>
      <c r="AH576" s="83"/>
      <c r="AI576" s="36"/>
      <c r="AK576" s="36"/>
    </row>
    <row r="577" spans="1:37" ht="14.25" customHeight="1">
      <c r="A577" s="36"/>
      <c r="B577" s="36"/>
      <c r="C577" s="77"/>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83"/>
      <c r="AH577" s="83"/>
      <c r="AI577" s="36"/>
      <c r="AK577" s="36"/>
    </row>
    <row r="578" spans="1:37" ht="14.25" customHeight="1">
      <c r="A578" s="36"/>
      <c r="B578" s="36"/>
      <c r="C578" s="77"/>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83"/>
      <c r="AH578" s="83"/>
      <c r="AI578" s="36"/>
      <c r="AK578" s="36"/>
    </row>
    <row r="579" spans="1:37" ht="14.25" customHeight="1">
      <c r="A579" s="36"/>
      <c r="B579" s="36"/>
      <c r="C579" s="77"/>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83"/>
      <c r="AH579" s="83"/>
      <c r="AI579" s="36"/>
      <c r="AK579" s="36"/>
    </row>
    <row r="580" spans="1:37" ht="14.25" customHeight="1">
      <c r="A580" s="36"/>
      <c r="B580" s="36"/>
      <c r="C580" s="77"/>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83"/>
      <c r="AH580" s="83"/>
      <c r="AI580" s="36"/>
      <c r="AK580" s="36"/>
    </row>
    <row r="581" spans="1:37" ht="14.25" customHeight="1">
      <c r="A581" s="36"/>
      <c r="B581" s="36"/>
      <c r="C581" s="77"/>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83"/>
      <c r="AH581" s="83"/>
      <c r="AI581" s="36"/>
      <c r="AK581" s="36"/>
    </row>
    <row r="582" spans="1:37" ht="14.25" customHeight="1">
      <c r="A582" s="36"/>
      <c r="B582" s="36"/>
      <c r="C582" s="77"/>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83"/>
      <c r="AH582" s="83"/>
      <c r="AI582" s="36"/>
      <c r="AK582" s="36"/>
    </row>
    <row r="583" spans="1:37" ht="14.25" customHeight="1">
      <c r="A583" s="36"/>
      <c r="B583" s="36"/>
      <c r="C583" s="77"/>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83"/>
      <c r="AH583" s="83"/>
      <c r="AI583" s="36"/>
      <c r="AK583" s="36"/>
    </row>
    <row r="584" spans="1:37" ht="14.25" customHeight="1">
      <c r="A584" s="36"/>
      <c r="B584" s="36"/>
      <c r="C584" s="77"/>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83"/>
      <c r="AH584" s="83"/>
      <c r="AI584" s="36"/>
      <c r="AK584" s="36"/>
    </row>
    <row r="585" spans="1:37" ht="14.25" customHeight="1">
      <c r="A585" s="36"/>
      <c r="B585" s="36"/>
      <c r="C585" s="77"/>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83"/>
      <c r="AH585" s="83"/>
      <c r="AI585" s="36"/>
      <c r="AK585" s="36"/>
    </row>
    <row r="586" spans="1:37" ht="14.25" customHeight="1">
      <c r="A586" s="36"/>
      <c r="B586" s="36"/>
      <c r="C586" s="77"/>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83"/>
      <c r="AH586" s="83"/>
      <c r="AI586" s="36"/>
      <c r="AK586" s="36"/>
    </row>
    <row r="587" spans="1:37" ht="14.25" customHeight="1">
      <c r="A587" s="36"/>
      <c r="B587" s="36"/>
      <c r="C587" s="77"/>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83"/>
      <c r="AH587" s="83"/>
      <c r="AI587" s="36"/>
      <c r="AK587" s="36"/>
    </row>
    <row r="588" spans="1:37" ht="14.25" customHeight="1">
      <c r="A588" s="36"/>
      <c r="B588" s="36"/>
      <c r="C588" s="77"/>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83"/>
      <c r="AH588" s="83"/>
      <c r="AI588" s="36"/>
      <c r="AK588" s="36"/>
    </row>
    <row r="589" spans="1:37" ht="14.25" customHeight="1">
      <c r="A589" s="36"/>
      <c r="B589" s="36"/>
      <c r="C589" s="77"/>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83"/>
      <c r="AH589" s="83"/>
      <c r="AI589" s="36"/>
      <c r="AK589" s="36"/>
    </row>
    <row r="590" spans="1:37" ht="14.25" customHeight="1">
      <c r="A590" s="36"/>
      <c r="B590" s="36"/>
      <c r="C590" s="77"/>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83"/>
      <c r="AH590" s="83"/>
      <c r="AI590" s="36"/>
      <c r="AK590" s="36"/>
    </row>
    <row r="591" spans="1:37" ht="14.25" customHeight="1">
      <c r="A591" s="36"/>
      <c r="B591" s="36"/>
      <c r="C591" s="77"/>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83"/>
      <c r="AH591" s="83"/>
      <c r="AI591" s="36"/>
      <c r="AK591" s="36"/>
    </row>
    <row r="592" spans="1:37" ht="14.25" customHeight="1">
      <c r="A592" s="36"/>
      <c r="B592" s="36"/>
      <c r="C592" s="77"/>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83"/>
      <c r="AH592" s="83"/>
      <c r="AI592" s="36"/>
      <c r="AK592" s="36"/>
    </row>
    <row r="593" spans="1:37" ht="14.25" customHeight="1">
      <c r="A593" s="36"/>
      <c r="B593" s="36"/>
      <c r="C593" s="77"/>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83"/>
      <c r="AH593" s="83"/>
      <c r="AI593" s="36"/>
      <c r="AK593" s="36"/>
    </row>
    <row r="594" spans="1:37" ht="14.25" customHeight="1">
      <c r="A594" s="36"/>
      <c r="B594" s="36"/>
      <c r="C594" s="77"/>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83"/>
      <c r="AH594" s="83"/>
      <c r="AI594" s="36"/>
      <c r="AK594" s="36"/>
    </row>
    <row r="595" spans="1:37" ht="14.25" customHeight="1">
      <c r="A595" s="36"/>
      <c r="B595" s="36"/>
      <c r="C595" s="77"/>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83"/>
      <c r="AH595" s="83"/>
      <c r="AI595" s="36"/>
      <c r="AK595" s="36"/>
    </row>
    <row r="596" spans="1:37" ht="14.25" customHeight="1">
      <c r="A596" s="36"/>
      <c r="B596" s="36"/>
      <c r="C596" s="77"/>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83"/>
      <c r="AH596" s="83"/>
      <c r="AI596" s="36"/>
      <c r="AK596" s="36"/>
    </row>
    <row r="597" spans="1:37" ht="14.25" customHeight="1">
      <c r="A597" s="36"/>
      <c r="B597" s="36"/>
      <c r="C597" s="77"/>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83"/>
      <c r="AH597" s="83"/>
      <c r="AI597" s="36"/>
      <c r="AK597" s="36"/>
    </row>
    <row r="598" spans="1:37" ht="14.25" customHeight="1">
      <c r="A598" s="36"/>
      <c r="B598" s="36"/>
      <c r="C598" s="77"/>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83"/>
      <c r="AH598" s="83"/>
      <c r="AI598" s="36"/>
      <c r="AK598" s="36"/>
    </row>
    <row r="599" spans="1:37" ht="14.25" customHeight="1">
      <c r="A599" s="36"/>
      <c r="B599" s="36"/>
      <c r="C599" s="77"/>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83"/>
      <c r="AH599" s="83"/>
      <c r="AI599" s="36"/>
      <c r="AK599" s="36"/>
    </row>
    <row r="600" spans="1:37" ht="14.25" customHeight="1">
      <c r="A600" s="36"/>
      <c r="B600" s="36"/>
      <c r="C600" s="77"/>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83"/>
      <c r="AH600" s="83"/>
      <c r="AI600" s="36"/>
      <c r="AK600" s="36"/>
    </row>
    <row r="601" spans="1:37" ht="14.25" customHeight="1">
      <c r="A601" s="36"/>
      <c r="B601" s="36"/>
      <c r="C601" s="77"/>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83"/>
      <c r="AH601" s="83"/>
      <c r="AI601" s="36"/>
      <c r="AK601" s="36"/>
    </row>
    <row r="602" spans="1:37" ht="14.25" customHeight="1">
      <c r="A602" s="36"/>
      <c r="B602" s="36"/>
      <c r="C602" s="77"/>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83"/>
      <c r="AH602" s="83"/>
      <c r="AI602" s="36"/>
      <c r="AK602" s="36"/>
    </row>
    <row r="603" spans="1:37" ht="14.25" customHeight="1">
      <c r="A603" s="36"/>
      <c r="B603" s="36"/>
      <c r="C603" s="77"/>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83"/>
      <c r="AH603" s="83"/>
      <c r="AI603" s="36"/>
      <c r="AK603" s="36"/>
    </row>
    <row r="604" spans="1:37" ht="14.25" customHeight="1">
      <c r="A604" s="36"/>
      <c r="B604" s="36"/>
      <c r="C604" s="77"/>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83"/>
      <c r="AH604" s="83"/>
      <c r="AI604" s="36"/>
      <c r="AK604" s="36"/>
    </row>
    <row r="605" spans="1:37" ht="14.25" customHeight="1">
      <c r="A605" s="36"/>
      <c r="B605" s="36"/>
      <c r="C605" s="77"/>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83"/>
      <c r="AH605" s="83"/>
      <c r="AI605" s="36"/>
      <c r="AK605" s="36"/>
    </row>
    <row r="606" spans="1:37" ht="14.25" customHeight="1">
      <c r="A606" s="36"/>
      <c r="B606" s="36"/>
      <c r="C606" s="77"/>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83"/>
      <c r="AH606" s="83"/>
      <c r="AI606" s="36"/>
      <c r="AK606" s="36"/>
    </row>
    <row r="607" spans="1:37" ht="14.25" customHeight="1">
      <c r="A607" s="36"/>
      <c r="B607" s="36"/>
      <c r="C607" s="77"/>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83"/>
      <c r="AH607" s="83"/>
      <c r="AI607" s="36"/>
      <c r="AK607" s="36"/>
    </row>
    <row r="608" spans="1:37" ht="14.25" customHeight="1">
      <c r="A608" s="36"/>
      <c r="B608" s="36"/>
      <c r="C608" s="77"/>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83"/>
      <c r="AH608" s="83"/>
      <c r="AI608" s="36"/>
      <c r="AK608" s="36"/>
    </row>
    <row r="609" spans="1:37" ht="14.25" customHeight="1">
      <c r="A609" s="36"/>
      <c r="B609" s="36"/>
      <c r="C609" s="77"/>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83"/>
      <c r="AH609" s="83"/>
      <c r="AI609" s="36"/>
      <c r="AK609" s="36"/>
    </row>
    <row r="610" spans="1:37" ht="14.25" customHeight="1">
      <c r="A610" s="36"/>
      <c r="B610" s="36"/>
      <c r="C610" s="77"/>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83"/>
      <c r="AH610" s="83"/>
      <c r="AI610" s="36"/>
      <c r="AK610" s="36"/>
    </row>
    <row r="611" spans="1:37" ht="14.25" customHeight="1">
      <c r="A611" s="36"/>
      <c r="B611" s="36"/>
      <c r="C611" s="77"/>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83"/>
      <c r="AH611" s="83"/>
      <c r="AI611" s="36"/>
      <c r="AK611" s="36"/>
    </row>
    <row r="612" spans="1:37" ht="14.25" customHeight="1">
      <c r="A612" s="36"/>
      <c r="B612" s="36"/>
      <c r="C612" s="77"/>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83"/>
      <c r="AH612" s="83"/>
      <c r="AI612" s="36"/>
      <c r="AK612" s="36"/>
    </row>
    <row r="613" spans="1:37" ht="14.25" customHeight="1">
      <c r="A613" s="36"/>
      <c r="B613" s="36"/>
      <c r="C613" s="77"/>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83"/>
      <c r="AH613" s="83"/>
      <c r="AI613" s="36"/>
      <c r="AK613" s="36"/>
    </row>
    <row r="614" spans="1:37" ht="14.25" customHeight="1">
      <c r="A614" s="36"/>
      <c r="B614" s="36"/>
      <c r="C614" s="77"/>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83"/>
      <c r="AH614" s="83"/>
      <c r="AI614" s="36"/>
      <c r="AK614" s="36"/>
    </row>
    <row r="615" spans="1:37" ht="14.25" customHeight="1">
      <c r="A615" s="36"/>
      <c r="B615" s="36"/>
      <c r="C615" s="77"/>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83"/>
      <c r="AH615" s="83"/>
      <c r="AI615" s="36"/>
      <c r="AK615" s="36"/>
    </row>
    <row r="616" spans="1:37" ht="14.25" customHeight="1">
      <c r="A616" s="36"/>
      <c r="B616" s="36"/>
      <c r="C616" s="77"/>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83"/>
      <c r="AH616" s="83"/>
      <c r="AI616" s="36"/>
      <c r="AK616" s="36"/>
    </row>
    <row r="617" spans="1:37" ht="14.25" customHeight="1">
      <c r="A617" s="36"/>
      <c r="B617" s="36"/>
      <c r="C617" s="77"/>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83"/>
      <c r="AH617" s="83"/>
      <c r="AI617" s="36"/>
      <c r="AK617" s="36"/>
    </row>
    <row r="618" spans="1:37" ht="14.25" customHeight="1">
      <c r="A618" s="36"/>
      <c r="B618" s="36"/>
      <c r="C618" s="77"/>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83"/>
      <c r="AH618" s="83"/>
      <c r="AI618" s="36"/>
      <c r="AK618" s="36"/>
    </row>
    <row r="619" spans="1:37" ht="14.25" customHeight="1">
      <c r="A619" s="36"/>
      <c r="B619" s="36"/>
      <c r="C619" s="77"/>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83"/>
      <c r="AH619" s="83"/>
      <c r="AI619" s="36"/>
      <c r="AK619" s="36"/>
    </row>
    <row r="620" spans="1:37" ht="14.25" customHeight="1">
      <c r="A620" s="36"/>
      <c r="B620" s="36"/>
      <c r="C620" s="77"/>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83"/>
      <c r="AH620" s="83"/>
      <c r="AI620" s="36"/>
      <c r="AK620" s="36"/>
    </row>
    <row r="621" spans="1:37" ht="14.25" customHeight="1">
      <c r="A621" s="36"/>
      <c r="B621" s="36"/>
      <c r="C621" s="77"/>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83"/>
      <c r="AH621" s="83"/>
      <c r="AI621" s="36"/>
      <c r="AK621" s="36"/>
    </row>
    <row r="622" spans="1:37" ht="14.25" customHeight="1">
      <c r="A622" s="36"/>
      <c r="B622" s="36"/>
      <c r="C622" s="77"/>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83"/>
      <c r="AH622" s="83"/>
      <c r="AI622" s="36"/>
      <c r="AK622" s="36"/>
    </row>
    <row r="623" spans="1:37" ht="14.25" customHeight="1">
      <c r="A623" s="36"/>
      <c r="B623" s="36"/>
      <c r="C623" s="77"/>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83"/>
      <c r="AH623" s="83"/>
      <c r="AI623" s="36"/>
      <c r="AK623" s="36"/>
    </row>
    <row r="624" spans="1:37" ht="14.25" customHeight="1">
      <c r="A624" s="36"/>
      <c r="B624" s="36"/>
      <c r="C624" s="77"/>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83"/>
      <c r="AH624" s="83"/>
      <c r="AI624" s="36"/>
      <c r="AK624" s="36"/>
    </row>
    <row r="625" spans="1:37" ht="14.25" customHeight="1">
      <c r="A625" s="36"/>
      <c r="B625" s="36"/>
      <c r="C625" s="77"/>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83"/>
      <c r="AH625" s="83"/>
      <c r="AI625" s="36"/>
      <c r="AK625" s="36"/>
    </row>
    <row r="626" spans="1:37" ht="14.25" customHeight="1">
      <c r="A626" s="36"/>
      <c r="B626" s="36"/>
      <c r="C626" s="77"/>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83"/>
      <c r="AH626" s="83"/>
      <c r="AI626" s="36"/>
      <c r="AK626" s="36"/>
    </row>
    <row r="627" spans="1:37" ht="14.25" customHeight="1">
      <c r="A627" s="36"/>
      <c r="B627" s="36"/>
      <c r="C627" s="77"/>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83"/>
      <c r="AH627" s="83"/>
      <c r="AI627" s="36"/>
      <c r="AK627" s="36"/>
    </row>
    <row r="628" spans="1:37" ht="14.25" customHeight="1">
      <c r="A628" s="36"/>
      <c r="B628" s="36"/>
      <c r="C628" s="77"/>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83"/>
      <c r="AH628" s="83"/>
      <c r="AI628" s="36"/>
      <c r="AK628" s="36"/>
    </row>
    <row r="629" spans="1:37" ht="14.25" customHeight="1">
      <c r="A629" s="36"/>
      <c r="B629" s="36"/>
      <c r="C629" s="77"/>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83"/>
      <c r="AH629" s="83"/>
      <c r="AI629" s="36"/>
      <c r="AK629" s="36"/>
    </row>
    <row r="630" spans="1:37" ht="14.25" customHeight="1">
      <c r="A630" s="36"/>
      <c r="B630" s="36"/>
      <c r="C630" s="77"/>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83"/>
      <c r="AH630" s="83"/>
      <c r="AI630" s="36"/>
      <c r="AK630" s="36"/>
    </row>
    <row r="631" spans="1:37" ht="14.25" customHeight="1">
      <c r="A631" s="36"/>
      <c r="B631" s="36"/>
      <c r="C631" s="77"/>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83"/>
      <c r="AH631" s="83"/>
      <c r="AI631" s="36"/>
      <c r="AK631" s="36"/>
    </row>
    <row r="632" spans="1:37" ht="14.25" customHeight="1">
      <c r="A632" s="36"/>
      <c r="B632" s="36"/>
      <c r="C632" s="77"/>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83"/>
      <c r="AH632" s="83"/>
      <c r="AI632" s="36"/>
      <c r="AK632" s="36"/>
    </row>
    <row r="633" spans="1:37" ht="14.25" customHeight="1">
      <c r="A633" s="36"/>
      <c r="B633" s="36"/>
      <c r="C633" s="77"/>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83"/>
      <c r="AH633" s="83"/>
      <c r="AI633" s="36"/>
      <c r="AK633" s="36"/>
    </row>
    <row r="634" spans="1:37" ht="14.25" customHeight="1">
      <c r="A634" s="36"/>
      <c r="B634" s="36"/>
      <c r="C634" s="77"/>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83"/>
      <c r="AH634" s="83"/>
      <c r="AI634" s="36"/>
      <c r="AK634" s="36"/>
    </row>
    <row r="635" spans="1:37" ht="14.25" customHeight="1">
      <c r="A635" s="36"/>
      <c r="B635" s="36"/>
      <c r="C635" s="77"/>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83"/>
      <c r="AH635" s="83"/>
      <c r="AI635" s="36"/>
      <c r="AK635" s="36"/>
    </row>
    <row r="636" spans="1:37" ht="14.25" customHeight="1">
      <c r="A636" s="36"/>
      <c r="B636" s="36"/>
      <c r="C636" s="77"/>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83"/>
      <c r="AH636" s="83"/>
      <c r="AI636" s="36"/>
      <c r="AK636" s="36"/>
    </row>
    <row r="637" spans="1:37" ht="14.25" customHeight="1">
      <c r="A637" s="36"/>
      <c r="B637" s="36"/>
      <c r="C637" s="77"/>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83"/>
      <c r="AH637" s="83"/>
      <c r="AI637" s="36"/>
      <c r="AK637" s="36"/>
    </row>
    <row r="638" spans="1:37" ht="14.25" customHeight="1">
      <c r="A638" s="36"/>
      <c r="B638" s="36"/>
      <c r="C638" s="77"/>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83"/>
      <c r="AH638" s="83"/>
      <c r="AI638" s="36"/>
      <c r="AK638" s="36"/>
    </row>
    <row r="639" spans="1:37" ht="14.25" customHeight="1">
      <c r="A639" s="36"/>
      <c r="B639" s="36"/>
      <c r="C639" s="77"/>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83"/>
      <c r="AH639" s="83"/>
      <c r="AI639" s="36"/>
      <c r="AK639" s="36"/>
    </row>
    <row r="640" spans="1:37" ht="14.25" customHeight="1">
      <c r="A640" s="36"/>
      <c r="B640" s="36"/>
      <c r="C640" s="77"/>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83"/>
      <c r="AH640" s="83"/>
      <c r="AI640" s="36"/>
      <c r="AK640" s="36"/>
    </row>
    <row r="641" spans="1:37" ht="14.25" customHeight="1">
      <c r="A641" s="36"/>
      <c r="B641" s="36"/>
      <c r="C641" s="77"/>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83"/>
      <c r="AH641" s="83"/>
      <c r="AI641" s="36"/>
      <c r="AK641" s="36"/>
    </row>
    <row r="642" spans="1:37" ht="14.25" customHeight="1">
      <c r="A642" s="36"/>
      <c r="B642" s="36"/>
      <c r="C642" s="77"/>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83"/>
      <c r="AH642" s="83"/>
      <c r="AI642" s="36"/>
      <c r="AK642" s="36"/>
    </row>
    <row r="643" spans="1:37" ht="14.25" customHeight="1">
      <c r="A643" s="36"/>
      <c r="B643" s="36"/>
      <c r="C643" s="77"/>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83"/>
      <c r="AH643" s="83"/>
      <c r="AI643" s="36"/>
      <c r="AK643" s="36"/>
    </row>
    <row r="644" spans="1:37" ht="14.25" customHeight="1">
      <c r="A644" s="36"/>
      <c r="B644" s="36"/>
      <c r="C644" s="77"/>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83"/>
      <c r="AH644" s="83"/>
      <c r="AI644" s="36"/>
      <c r="AK644" s="36"/>
    </row>
    <row r="645" spans="1:37" ht="14.25" customHeight="1">
      <c r="A645" s="36"/>
      <c r="B645" s="36"/>
      <c r="C645" s="77"/>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83"/>
      <c r="AH645" s="83"/>
      <c r="AI645" s="36"/>
      <c r="AK645" s="36"/>
    </row>
    <row r="646" spans="1:37" ht="14.25" customHeight="1">
      <c r="A646" s="36"/>
      <c r="B646" s="36"/>
      <c r="C646" s="77"/>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83"/>
      <c r="AH646" s="83"/>
      <c r="AI646" s="36"/>
      <c r="AK646" s="36"/>
    </row>
    <row r="647" spans="1:37" ht="14.25" customHeight="1">
      <c r="A647" s="36"/>
      <c r="B647" s="36"/>
      <c r="C647" s="77"/>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83"/>
      <c r="AH647" s="83"/>
      <c r="AI647" s="36"/>
      <c r="AK647" s="36"/>
    </row>
    <row r="648" spans="1:37" ht="14.25" customHeight="1">
      <c r="A648" s="36"/>
      <c r="B648" s="36"/>
      <c r="C648" s="77"/>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83"/>
      <c r="AH648" s="83"/>
      <c r="AI648" s="36"/>
      <c r="AK648" s="36"/>
    </row>
    <row r="649" spans="1:37" ht="14.25" customHeight="1">
      <c r="A649" s="36"/>
      <c r="B649" s="36"/>
      <c r="C649" s="77"/>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83"/>
      <c r="AH649" s="83"/>
      <c r="AI649" s="36"/>
      <c r="AK649" s="36"/>
    </row>
    <row r="650" spans="1:37" ht="14.25" customHeight="1">
      <c r="A650" s="36"/>
      <c r="B650" s="36"/>
      <c r="C650" s="77"/>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83"/>
      <c r="AH650" s="83"/>
      <c r="AI650" s="36"/>
      <c r="AK650" s="36"/>
    </row>
    <row r="651" spans="1:37" ht="14.25" customHeight="1">
      <c r="A651" s="36"/>
      <c r="B651" s="36"/>
      <c r="C651" s="77"/>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83"/>
      <c r="AH651" s="83"/>
      <c r="AI651" s="36"/>
      <c r="AK651" s="36"/>
    </row>
    <row r="652" spans="1:37" ht="14.25" customHeight="1">
      <c r="A652" s="36"/>
      <c r="B652" s="36"/>
      <c r="C652" s="77"/>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83"/>
      <c r="AH652" s="83"/>
      <c r="AI652" s="36"/>
      <c r="AK652" s="36"/>
    </row>
    <row r="653" spans="1:37" ht="14.25" customHeight="1">
      <c r="A653" s="36"/>
      <c r="B653" s="36"/>
      <c r="C653" s="77"/>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83"/>
      <c r="AH653" s="83"/>
      <c r="AI653" s="36"/>
      <c r="AK653" s="36"/>
    </row>
    <row r="654" spans="1:37" ht="14.25" customHeight="1">
      <c r="A654" s="36"/>
      <c r="B654" s="36"/>
      <c r="C654" s="77"/>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83"/>
      <c r="AH654" s="83"/>
      <c r="AI654" s="36"/>
      <c r="AK654" s="36"/>
    </row>
    <row r="655" spans="1:37" ht="14.25" customHeight="1">
      <c r="A655" s="36"/>
      <c r="B655" s="36"/>
      <c r="C655" s="77"/>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83"/>
      <c r="AH655" s="83"/>
      <c r="AI655" s="36"/>
      <c r="AK655" s="36"/>
    </row>
    <row r="656" spans="1:37" ht="14.25" customHeight="1">
      <c r="A656" s="36"/>
      <c r="B656" s="36"/>
      <c r="C656" s="77"/>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83"/>
      <c r="AH656" s="83"/>
      <c r="AI656" s="36"/>
      <c r="AK656" s="36"/>
    </row>
    <row r="657" spans="1:37" ht="14.25" customHeight="1">
      <c r="A657" s="36"/>
      <c r="B657" s="36"/>
      <c r="C657" s="77"/>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83"/>
      <c r="AH657" s="83"/>
      <c r="AI657" s="36"/>
      <c r="AK657" s="36"/>
    </row>
    <row r="658" spans="1:37" ht="14.25" customHeight="1">
      <c r="A658" s="36"/>
      <c r="B658" s="36"/>
      <c r="C658" s="77"/>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83"/>
      <c r="AH658" s="83"/>
      <c r="AI658" s="36"/>
      <c r="AK658" s="36"/>
    </row>
    <row r="659" spans="1:37" ht="14.25" customHeight="1">
      <c r="A659" s="36"/>
      <c r="B659" s="36"/>
      <c r="C659" s="77"/>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83"/>
      <c r="AH659" s="83"/>
      <c r="AI659" s="36"/>
      <c r="AK659" s="36"/>
    </row>
    <row r="660" spans="1:37" ht="14.25" customHeight="1">
      <c r="A660" s="36"/>
      <c r="B660" s="36"/>
      <c r="C660" s="77"/>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83"/>
      <c r="AH660" s="83"/>
      <c r="AI660" s="36"/>
      <c r="AK660" s="36"/>
    </row>
    <row r="661" spans="1:37" ht="14.25" customHeight="1">
      <c r="A661" s="36"/>
      <c r="B661" s="36"/>
      <c r="C661" s="77"/>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83"/>
      <c r="AH661" s="83"/>
      <c r="AI661" s="36"/>
      <c r="AK661" s="36"/>
    </row>
    <row r="662" spans="1:37" ht="14.25" customHeight="1">
      <c r="A662" s="36"/>
      <c r="B662" s="36"/>
      <c r="C662" s="77"/>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83"/>
      <c r="AH662" s="83"/>
      <c r="AI662" s="36"/>
      <c r="AK662" s="36"/>
    </row>
    <row r="663" spans="1:37" ht="14.25" customHeight="1">
      <c r="A663" s="36"/>
      <c r="B663" s="36"/>
      <c r="C663" s="77"/>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83"/>
      <c r="AH663" s="83"/>
      <c r="AI663" s="36"/>
      <c r="AK663" s="36"/>
    </row>
    <row r="664" spans="1:37" ht="14.25" customHeight="1">
      <c r="A664" s="36"/>
      <c r="B664" s="36"/>
      <c r="C664" s="77"/>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83"/>
      <c r="AH664" s="83"/>
      <c r="AI664" s="36"/>
      <c r="AK664" s="36"/>
    </row>
    <row r="665" spans="1:37" ht="14.25" customHeight="1">
      <c r="A665" s="36"/>
      <c r="B665" s="36"/>
      <c r="C665" s="77"/>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83"/>
      <c r="AH665" s="83"/>
      <c r="AI665" s="36"/>
      <c r="AK665" s="36"/>
    </row>
    <row r="666" spans="1:37" ht="14.25" customHeight="1">
      <c r="A666" s="36"/>
      <c r="B666" s="36"/>
      <c r="C666" s="77"/>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83"/>
      <c r="AH666" s="83"/>
      <c r="AI666" s="36"/>
      <c r="AK666" s="36"/>
    </row>
    <row r="667" spans="1:37" ht="14.25" customHeight="1">
      <c r="A667" s="36"/>
      <c r="B667" s="36"/>
      <c r="C667" s="77"/>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83"/>
      <c r="AH667" s="83"/>
      <c r="AI667" s="36"/>
      <c r="AK667" s="36"/>
    </row>
    <row r="668" spans="1:37" ht="14.25" customHeight="1">
      <c r="A668" s="36"/>
      <c r="B668" s="36"/>
      <c r="C668" s="77"/>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83"/>
      <c r="AH668" s="83"/>
      <c r="AI668" s="36"/>
      <c r="AK668" s="36"/>
    </row>
    <row r="669" spans="1:37" ht="14.25" customHeight="1">
      <c r="A669" s="36"/>
      <c r="B669" s="36"/>
      <c r="C669" s="77"/>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83"/>
      <c r="AH669" s="83"/>
      <c r="AI669" s="36"/>
      <c r="AK669" s="36"/>
    </row>
    <row r="670" spans="1:37" ht="14.25" customHeight="1">
      <c r="A670" s="36"/>
      <c r="B670" s="36"/>
      <c r="C670" s="77"/>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83"/>
      <c r="AH670" s="83"/>
      <c r="AI670" s="36"/>
      <c r="AK670" s="36"/>
    </row>
    <row r="671" spans="1:37" ht="14.25" customHeight="1">
      <c r="A671" s="36"/>
      <c r="B671" s="36"/>
      <c r="C671" s="77"/>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83"/>
      <c r="AH671" s="83"/>
      <c r="AI671" s="36"/>
      <c r="AK671" s="36"/>
    </row>
    <row r="672" spans="1:37" ht="14.25" customHeight="1">
      <c r="A672" s="36"/>
      <c r="B672" s="36"/>
      <c r="C672" s="77"/>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83"/>
      <c r="AH672" s="83"/>
      <c r="AI672" s="36"/>
      <c r="AK672" s="36"/>
    </row>
    <row r="673" spans="1:37" ht="14.25" customHeight="1">
      <c r="A673" s="36"/>
      <c r="B673" s="36"/>
      <c r="C673" s="77"/>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83"/>
      <c r="AH673" s="83"/>
      <c r="AI673" s="36"/>
      <c r="AK673" s="36"/>
    </row>
    <row r="674" spans="1:37" ht="14.25" customHeight="1">
      <c r="A674" s="36"/>
      <c r="B674" s="36"/>
      <c r="C674" s="77"/>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83"/>
      <c r="AH674" s="83"/>
      <c r="AI674" s="36"/>
      <c r="AK674" s="36"/>
    </row>
    <row r="675" spans="1:37" ht="14.25" customHeight="1">
      <c r="A675" s="36"/>
      <c r="B675" s="36"/>
      <c r="C675" s="77"/>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83"/>
      <c r="AH675" s="83"/>
      <c r="AI675" s="36"/>
      <c r="AK675" s="36"/>
    </row>
    <row r="676" spans="1:37" ht="14.25" customHeight="1">
      <c r="A676" s="36"/>
      <c r="B676" s="36"/>
      <c r="C676" s="77"/>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83"/>
      <c r="AH676" s="83"/>
      <c r="AI676" s="36"/>
      <c r="AK676" s="36"/>
    </row>
    <row r="677" spans="1:37" ht="14.25" customHeight="1">
      <c r="A677" s="36"/>
      <c r="B677" s="36"/>
      <c r="C677" s="77"/>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83"/>
      <c r="AH677" s="83"/>
      <c r="AI677" s="36"/>
      <c r="AK677" s="36"/>
    </row>
    <row r="678" spans="1:37" ht="14.25" customHeight="1">
      <c r="A678" s="36"/>
      <c r="B678" s="36"/>
      <c r="C678" s="77"/>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83"/>
      <c r="AH678" s="83"/>
      <c r="AI678" s="36"/>
      <c r="AK678" s="36"/>
    </row>
    <row r="679" spans="1:37" ht="14.25" customHeight="1">
      <c r="A679" s="36"/>
      <c r="B679" s="36"/>
      <c r="C679" s="77"/>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83"/>
      <c r="AH679" s="83"/>
      <c r="AI679" s="36"/>
      <c r="AK679" s="36"/>
    </row>
    <row r="680" spans="1:37" ht="14.25" customHeight="1">
      <c r="A680" s="36"/>
      <c r="B680" s="36"/>
      <c r="C680" s="77"/>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83"/>
      <c r="AH680" s="83"/>
      <c r="AI680" s="36"/>
      <c r="AK680" s="36"/>
    </row>
    <row r="681" spans="1:37" ht="14.25" customHeight="1">
      <c r="A681" s="36"/>
      <c r="B681" s="36"/>
      <c r="C681" s="77"/>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83"/>
      <c r="AH681" s="83"/>
      <c r="AI681" s="36"/>
      <c r="AK681" s="36"/>
    </row>
    <row r="682" spans="1:37" ht="14.25" customHeight="1">
      <c r="A682" s="36"/>
      <c r="B682" s="36"/>
      <c r="C682" s="77"/>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83"/>
      <c r="AH682" s="83"/>
      <c r="AI682" s="36"/>
      <c r="AK682" s="36"/>
    </row>
    <row r="683" spans="1:37" ht="14.25" customHeight="1">
      <c r="A683" s="36"/>
      <c r="B683" s="36"/>
      <c r="C683" s="77"/>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83"/>
      <c r="AH683" s="83"/>
      <c r="AI683" s="36"/>
      <c r="AK683" s="36"/>
    </row>
    <row r="684" spans="1:37" ht="14.25" customHeight="1">
      <c r="A684" s="36"/>
      <c r="B684" s="36"/>
      <c r="C684" s="77"/>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83"/>
      <c r="AH684" s="83"/>
      <c r="AI684" s="36"/>
      <c r="AK684" s="36"/>
    </row>
    <row r="685" spans="1:37" ht="14.25" customHeight="1">
      <c r="A685" s="36"/>
      <c r="B685" s="36"/>
      <c r="C685" s="77"/>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83"/>
      <c r="AH685" s="83"/>
      <c r="AI685" s="36"/>
      <c r="AK685" s="36"/>
    </row>
    <row r="686" spans="1:37" ht="14.25" customHeight="1">
      <c r="A686" s="36"/>
      <c r="B686" s="36"/>
      <c r="C686" s="77"/>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83"/>
      <c r="AH686" s="83"/>
      <c r="AI686" s="36"/>
      <c r="AK686" s="36"/>
    </row>
    <row r="687" spans="1:37" ht="14.25" customHeight="1">
      <c r="A687" s="36"/>
      <c r="B687" s="36"/>
      <c r="C687" s="77"/>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83"/>
      <c r="AH687" s="83"/>
      <c r="AI687" s="36"/>
      <c r="AK687" s="36"/>
    </row>
    <row r="688" spans="1:37" ht="14.25" customHeight="1">
      <c r="A688" s="36"/>
      <c r="B688" s="36"/>
      <c r="C688" s="77"/>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83"/>
      <c r="AH688" s="83"/>
      <c r="AI688" s="36"/>
      <c r="AK688" s="36"/>
    </row>
    <row r="689" spans="1:37" ht="14.25" customHeight="1">
      <c r="A689" s="36"/>
      <c r="B689" s="36"/>
      <c r="C689" s="77"/>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83"/>
      <c r="AH689" s="83"/>
      <c r="AI689" s="36"/>
      <c r="AK689" s="36"/>
    </row>
    <row r="690" spans="1:37" ht="14.25" customHeight="1">
      <c r="A690" s="36"/>
      <c r="B690" s="36"/>
      <c r="C690" s="77"/>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83"/>
      <c r="AH690" s="83"/>
      <c r="AI690" s="36"/>
      <c r="AK690" s="36"/>
    </row>
    <row r="691" spans="1:37" ht="14.25" customHeight="1">
      <c r="A691" s="36"/>
      <c r="B691" s="36"/>
      <c r="C691" s="77"/>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83"/>
      <c r="AH691" s="83"/>
      <c r="AI691" s="36"/>
      <c r="AK691" s="36"/>
    </row>
    <row r="692" spans="1:37" ht="14.25" customHeight="1">
      <c r="A692" s="36"/>
      <c r="B692" s="36"/>
      <c r="C692" s="77"/>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83"/>
      <c r="AH692" s="83"/>
      <c r="AI692" s="36"/>
      <c r="AK692" s="36"/>
    </row>
    <row r="693" spans="1:37" ht="14.25" customHeight="1">
      <c r="A693" s="36"/>
      <c r="B693" s="36"/>
      <c r="C693" s="77"/>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83"/>
      <c r="AH693" s="83"/>
      <c r="AI693" s="36"/>
      <c r="AK693" s="36"/>
    </row>
    <row r="694" spans="1:37" ht="14.25" customHeight="1">
      <c r="A694" s="36"/>
      <c r="B694" s="36"/>
      <c r="C694" s="77"/>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83"/>
      <c r="AH694" s="83"/>
      <c r="AI694" s="36"/>
      <c r="AK694" s="36"/>
    </row>
    <row r="695" spans="1:37" ht="14.25" customHeight="1">
      <c r="A695" s="36"/>
      <c r="B695" s="36"/>
      <c r="C695" s="77"/>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83"/>
      <c r="AH695" s="83"/>
      <c r="AI695" s="36"/>
      <c r="AK695" s="36"/>
    </row>
    <row r="696" spans="1:37" ht="14.25" customHeight="1">
      <c r="A696" s="36"/>
      <c r="B696" s="36"/>
      <c r="C696" s="77"/>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83"/>
      <c r="AH696" s="83"/>
      <c r="AI696" s="36"/>
      <c r="AK696" s="36"/>
    </row>
    <row r="697" spans="1:37" ht="14.25" customHeight="1">
      <c r="A697" s="36"/>
      <c r="B697" s="36"/>
      <c r="C697" s="77"/>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83"/>
      <c r="AH697" s="83"/>
      <c r="AI697" s="36"/>
      <c r="AK697" s="36"/>
    </row>
    <row r="698" spans="1:37" ht="14.25" customHeight="1">
      <c r="A698" s="36"/>
      <c r="B698" s="36"/>
      <c r="C698" s="77"/>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83"/>
      <c r="AH698" s="83"/>
      <c r="AI698" s="36"/>
      <c r="AK698" s="36"/>
    </row>
    <row r="699" spans="1:37" ht="14.25" customHeight="1">
      <c r="A699" s="36"/>
      <c r="B699" s="36"/>
      <c r="C699" s="77"/>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83"/>
      <c r="AH699" s="83"/>
      <c r="AI699" s="36"/>
      <c r="AK699" s="36"/>
    </row>
    <row r="700" spans="1:37" ht="14.25" customHeight="1">
      <c r="A700" s="36"/>
      <c r="B700" s="36"/>
      <c r="C700" s="77"/>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83"/>
      <c r="AH700" s="83"/>
      <c r="AI700" s="36"/>
      <c r="AK700" s="36"/>
    </row>
    <row r="701" spans="1:37" ht="14.25" customHeight="1">
      <c r="A701" s="36"/>
      <c r="B701" s="36"/>
      <c r="C701" s="77"/>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83"/>
      <c r="AH701" s="83"/>
      <c r="AI701" s="36"/>
      <c r="AK701" s="36"/>
    </row>
    <row r="702" spans="1:37" ht="14.25" customHeight="1">
      <c r="A702" s="36"/>
      <c r="B702" s="36"/>
      <c r="C702" s="77"/>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83"/>
      <c r="AH702" s="83"/>
      <c r="AI702" s="36"/>
      <c r="AK702" s="36"/>
    </row>
    <row r="703" spans="1:37" ht="14.25" customHeight="1">
      <c r="A703" s="36"/>
      <c r="B703" s="36"/>
      <c r="C703" s="77"/>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83"/>
      <c r="AH703" s="83"/>
      <c r="AI703" s="36"/>
      <c r="AK703" s="36"/>
    </row>
    <row r="704" spans="1:37" ht="14.25" customHeight="1">
      <c r="A704" s="36"/>
      <c r="B704" s="36"/>
      <c r="C704" s="77"/>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83"/>
      <c r="AH704" s="83"/>
      <c r="AI704" s="36"/>
      <c r="AK704" s="36"/>
    </row>
    <row r="705" spans="1:37" ht="14.25" customHeight="1">
      <c r="A705" s="36"/>
      <c r="B705" s="36"/>
      <c r="C705" s="77"/>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83"/>
      <c r="AH705" s="83"/>
      <c r="AI705" s="36"/>
      <c r="AK705" s="36"/>
    </row>
    <row r="706" spans="1:37" ht="14.25" customHeight="1">
      <c r="A706" s="36"/>
      <c r="B706" s="36"/>
      <c r="C706" s="77"/>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83"/>
      <c r="AH706" s="83"/>
      <c r="AI706" s="36"/>
      <c r="AK706" s="36"/>
    </row>
    <row r="707" spans="1:37" ht="14.25" customHeight="1">
      <c r="A707" s="36"/>
      <c r="B707" s="36"/>
      <c r="C707" s="77"/>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83"/>
      <c r="AH707" s="83"/>
      <c r="AI707" s="36"/>
      <c r="AK707" s="36"/>
    </row>
    <row r="708" spans="1:37" ht="14.25" customHeight="1">
      <c r="A708" s="36"/>
      <c r="B708" s="36"/>
      <c r="C708" s="77"/>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83"/>
      <c r="AH708" s="83"/>
      <c r="AI708" s="36"/>
      <c r="AK708" s="36"/>
    </row>
    <row r="709" spans="1:37" ht="14.25" customHeight="1">
      <c r="A709" s="36"/>
      <c r="B709" s="36"/>
      <c r="C709" s="77"/>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83"/>
      <c r="AH709" s="83"/>
      <c r="AI709" s="36"/>
      <c r="AK709" s="36"/>
    </row>
    <row r="710" spans="1:37" ht="14.25" customHeight="1">
      <c r="A710" s="36"/>
      <c r="B710" s="36"/>
      <c r="C710" s="77"/>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83"/>
      <c r="AH710" s="83"/>
      <c r="AI710" s="36"/>
      <c r="AK710" s="36"/>
    </row>
    <row r="711" spans="1:37" ht="14.25" customHeight="1">
      <c r="A711" s="36"/>
      <c r="B711" s="36"/>
      <c r="C711" s="77"/>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83"/>
      <c r="AH711" s="83"/>
      <c r="AI711" s="36"/>
      <c r="AK711" s="36"/>
    </row>
    <row r="712" spans="1:37" ht="14.25" customHeight="1">
      <c r="A712" s="36"/>
      <c r="B712" s="36"/>
      <c r="C712" s="77"/>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83"/>
      <c r="AH712" s="83"/>
      <c r="AI712" s="36"/>
      <c r="AK712" s="36"/>
    </row>
    <row r="713" spans="1:37" ht="14.25" customHeight="1">
      <c r="A713" s="36"/>
      <c r="B713" s="36"/>
      <c r="C713" s="77"/>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83"/>
      <c r="AH713" s="83"/>
      <c r="AI713" s="36"/>
      <c r="AK713" s="36"/>
    </row>
    <row r="714" spans="1:37" ht="14.25" customHeight="1">
      <c r="A714" s="36"/>
      <c r="B714" s="36"/>
      <c r="C714" s="77"/>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83"/>
      <c r="AH714" s="83"/>
      <c r="AI714" s="36"/>
      <c r="AK714" s="36"/>
    </row>
    <row r="715" spans="1:37" ht="14.25" customHeight="1">
      <c r="A715" s="36"/>
      <c r="B715" s="36"/>
      <c r="C715" s="77"/>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83"/>
      <c r="AH715" s="83"/>
      <c r="AI715" s="36"/>
      <c r="AK715" s="36"/>
    </row>
    <row r="716" spans="1:37" ht="14.25" customHeight="1">
      <c r="A716" s="36"/>
      <c r="B716" s="36"/>
      <c r="C716" s="77"/>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83"/>
      <c r="AH716" s="83"/>
      <c r="AI716" s="36"/>
      <c r="AK716" s="36"/>
    </row>
    <row r="717" spans="1:37" ht="14.25" customHeight="1">
      <c r="A717" s="36"/>
      <c r="B717" s="36"/>
      <c r="C717" s="77"/>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83"/>
      <c r="AH717" s="83"/>
      <c r="AI717" s="36"/>
      <c r="AK717" s="36"/>
    </row>
    <row r="718" spans="1:37" ht="14.25" customHeight="1">
      <c r="A718" s="36"/>
      <c r="B718" s="36"/>
      <c r="C718" s="77"/>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83"/>
      <c r="AH718" s="83"/>
      <c r="AI718" s="36"/>
      <c r="AK718" s="36"/>
    </row>
    <row r="719" spans="1:37" ht="14.25" customHeight="1">
      <c r="A719" s="36"/>
      <c r="B719" s="36"/>
      <c r="C719" s="77"/>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83"/>
      <c r="AH719" s="83"/>
      <c r="AI719" s="36"/>
      <c r="AK719" s="36"/>
    </row>
    <row r="720" spans="1:37" ht="14.25" customHeight="1">
      <c r="A720" s="36"/>
      <c r="B720" s="36"/>
      <c r="C720" s="77"/>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83"/>
      <c r="AH720" s="83"/>
      <c r="AI720" s="36"/>
      <c r="AK720" s="36"/>
    </row>
    <row r="721" spans="1:37" ht="14.25" customHeight="1">
      <c r="A721" s="36"/>
      <c r="B721" s="36"/>
      <c r="C721" s="77"/>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83"/>
      <c r="AH721" s="83"/>
      <c r="AI721" s="36"/>
      <c r="AK721" s="36"/>
    </row>
    <row r="722" spans="1:37" ht="14.25" customHeight="1">
      <c r="A722" s="36"/>
      <c r="B722" s="36"/>
      <c r="C722" s="77"/>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83"/>
      <c r="AH722" s="83"/>
      <c r="AI722" s="36"/>
      <c r="AK722" s="36"/>
    </row>
    <row r="723" spans="1:37" ht="14.25" customHeight="1">
      <c r="A723" s="36"/>
      <c r="B723" s="36"/>
      <c r="C723" s="77"/>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83"/>
      <c r="AH723" s="83"/>
      <c r="AI723" s="36"/>
      <c r="AK723" s="36"/>
    </row>
    <row r="724" spans="1:37" ht="14.25" customHeight="1">
      <c r="A724" s="36"/>
      <c r="B724" s="36"/>
      <c r="C724" s="77"/>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83"/>
      <c r="AH724" s="83"/>
      <c r="AI724" s="36"/>
      <c r="AK724" s="36"/>
    </row>
    <row r="725" spans="1:37" ht="14.25" customHeight="1">
      <c r="A725" s="36"/>
      <c r="B725" s="36"/>
      <c r="C725" s="77"/>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83"/>
      <c r="AH725" s="83"/>
      <c r="AI725" s="36"/>
      <c r="AK725" s="36"/>
    </row>
    <row r="726" spans="1:37" ht="14.25" customHeight="1">
      <c r="A726" s="36"/>
      <c r="B726" s="36"/>
      <c r="C726" s="77"/>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83"/>
      <c r="AH726" s="83"/>
      <c r="AI726" s="36"/>
      <c r="AK726" s="36"/>
    </row>
    <row r="727" spans="1:37" ht="14.25" customHeight="1">
      <c r="A727" s="36"/>
      <c r="B727" s="36"/>
      <c r="C727" s="77"/>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83"/>
      <c r="AH727" s="83"/>
      <c r="AI727" s="36"/>
      <c r="AK727" s="36"/>
    </row>
    <row r="728" spans="1:37" ht="14.25" customHeight="1">
      <c r="A728" s="36"/>
      <c r="B728" s="36"/>
      <c r="C728" s="77"/>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83"/>
      <c r="AH728" s="83"/>
      <c r="AI728" s="36"/>
      <c r="AK728" s="36"/>
    </row>
    <row r="729" spans="1:37" ht="14.25" customHeight="1">
      <c r="A729" s="36"/>
      <c r="B729" s="36"/>
      <c r="C729" s="77"/>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83"/>
      <c r="AH729" s="83"/>
      <c r="AI729" s="36"/>
      <c r="AK729" s="36"/>
    </row>
    <row r="730" spans="1:37" ht="14.25" customHeight="1">
      <c r="A730" s="36"/>
      <c r="B730" s="36"/>
      <c r="C730" s="77"/>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83"/>
      <c r="AH730" s="83"/>
      <c r="AI730" s="36"/>
      <c r="AK730" s="36"/>
    </row>
    <row r="731" spans="1:37" ht="14.25" customHeight="1">
      <c r="A731" s="36"/>
      <c r="B731" s="36"/>
      <c r="C731" s="77"/>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83"/>
      <c r="AH731" s="83"/>
      <c r="AI731" s="36"/>
      <c r="AK731" s="36"/>
    </row>
    <row r="732" spans="1:37" ht="14.25" customHeight="1">
      <c r="A732" s="36"/>
      <c r="B732" s="36"/>
      <c r="C732" s="77"/>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83"/>
      <c r="AH732" s="83"/>
      <c r="AI732" s="36"/>
      <c r="AK732" s="36"/>
    </row>
    <row r="733" spans="1:37" ht="14.25" customHeight="1">
      <c r="A733" s="36"/>
      <c r="B733" s="36"/>
      <c r="C733" s="77"/>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83"/>
      <c r="AH733" s="83"/>
      <c r="AI733" s="36"/>
      <c r="AK733" s="36"/>
    </row>
    <row r="734" spans="1:37" ht="14.25" customHeight="1">
      <c r="A734" s="36"/>
      <c r="B734" s="36"/>
      <c r="C734" s="77"/>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83"/>
      <c r="AH734" s="83"/>
      <c r="AI734" s="36"/>
      <c r="AK734" s="36"/>
    </row>
    <row r="735" spans="1:37" ht="14.25" customHeight="1">
      <c r="A735" s="36"/>
      <c r="B735" s="36"/>
      <c r="C735" s="77"/>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83"/>
      <c r="AH735" s="83"/>
      <c r="AI735" s="36"/>
      <c r="AK735" s="36"/>
    </row>
    <row r="736" spans="1:37" ht="14.25" customHeight="1">
      <c r="A736" s="36"/>
      <c r="B736" s="36"/>
      <c r="C736" s="77"/>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83"/>
      <c r="AH736" s="83"/>
      <c r="AI736" s="36"/>
      <c r="AK736" s="36"/>
    </row>
    <row r="737" spans="1:37" ht="14.25" customHeight="1">
      <c r="A737" s="36"/>
      <c r="B737" s="36"/>
      <c r="C737" s="77"/>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83"/>
      <c r="AH737" s="83"/>
      <c r="AI737" s="36"/>
      <c r="AK737" s="36"/>
    </row>
    <row r="738" spans="1:37" ht="14.25" customHeight="1">
      <c r="A738" s="36"/>
      <c r="B738" s="36"/>
      <c r="C738" s="77"/>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83"/>
      <c r="AH738" s="83"/>
      <c r="AI738" s="36"/>
      <c r="AK738" s="36"/>
    </row>
    <row r="739" spans="1:37" ht="14.25" customHeight="1">
      <c r="A739" s="36"/>
      <c r="B739" s="36"/>
      <c r="C739" s="77"/>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83"/>
      <c r="AH739" s="83"/>
      <c r="AI739" s="36"/>
      <c r="AK739" s="36"/>
    </row>
    <row r="740" spans="1:37" ht="14.25" customHeight="1">
      <c r="A740" s="36"/>
      <c r="B740" s="36"/>
      <c r="C740" s="77"/>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83"/>
      <c r="AH740" s="83"/>
      <c r="AI740" s="36"/>
      <c r="AK740" s="36"/>
    </row>
    <row r="741" spans="1:37" ht="14.25" customHeight="1">
      <c r="A741" s="36"/>
      <c r="B741" s="36"/>
      <c r="C741" s="77"/>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83"/>
      <c r="AH741" s="83"/>
      <c r="AI741" s="36"/>
      <c r="AK741" s="36"/>
    </row>
    <row r="742" spans="1:37" ht="14.25" customHeight="1">
      <c r="A742" s="36"/>
      <c r="B742" s="36"/>
      <c r="C742" s="77"/>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83"/>
      <c r="AH742" s="83"/>
      <c r="AI742" s="36"/>
      <c r="AK742" s="36"/>
    </row>
    <row r="743" spans="1:37" ht="14.25" customHeight="1">
      <c r="A743" s="36"/>
      <c r="B743" s="36"/>
      <c r="C743" s="77"/>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83"/>
      <c r="AH743" s="83"/>
      <c r="AI743" s="36"/>
      <c r="AK743" s="36"/>
    </row>
    <row r="744" spans="1:37" ht="14.25" customHeight="1">
      <c r="A744" s="36"/>
      <c r="B744" s="36"/>
      <c r="C744" s="77"/>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83"/>
      <c r="AH744" s="83"/>
      <c r="AI744" s="36"/>
      <c r="AK744" s="36"/>
    </row>
    <row r="745" spans="1:37" ht="14.25" customHeight="1">
      <c r="A745" s="36"/>
      <c r="B745" s="36"/>
      <c r="C745" s="77"/>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83"/>
      <c r="AH745" s="83"/>
      <c r="AI745" s="36"/>
      <c r="AK745" s="36"/>
    </row>
    <row r="746" spans="1:37" ht="14.25" customHeight="1">
      <c r="A746" s="36"/>
      <c r="B746" s="36"/>
      <c r="C746" s="77"/>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83"/>
      <c r="AH746" s="83"/>
      <c r="AI746" s="36"/>
      <c r="AK746" s="36"/>
    </row>
    <row r="747" spans="1:37" ht="14.25" customHeight="1">
      <c r="A747" s="36"/>
      <c r="B747" s="36"/>
      <c r="C747" s="77"/>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83"/>
      <c r="AH747" s="83"/>
      <c r="AI747" s="36"/>
      <c r="AK747" s="36"/>
    </row>
    <row r="748" spans="1:37" ht="14.25" customHeight="1">
      <c r="A748" s="36"/>
      <c r="B748" s="36"/>
      <c r="C748" s="77"/>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83"/>
      <c r="AH748" s="83"/>
      <c r="AI748" s="36"/>
      <c r="AK748" s="36"/>
    </row>
    <row r="749" spans="1:37" ht="14.25" customHeight="1">
      <c r="A749" s="36"/>
      <c r="B749" s="36"/>
      <c r="C749" s="77"/>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83"/>
      <c r="AH749" s="83"/>
      <c r="AI749" s="36"/>
      <c r="AK749" s="36"/>
    </row>
    <row r="750" spans="1:37" ht="14.25" customHeight="1">
      <c r="A750" s="36"/>
      <c r="B750" s="36"/>
      <c r="C750" s="77"/>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83"/>
      <c r="AH750" s="83"/>
      <c r="AI750" s="36"/>
      <c r="AK750" s="36"/>
    </row>
    <row r="751" spans="1:37" ht="14.25" customHeight="1">
      <c r="A751" s="36"/>
      <c r="B751" s="36"/>
      <c r="C751" s="77"/>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83"/>
      <c r="AH751" s="83"/>
      <c r="AI751" s="36"/>
      <c r="AK751" s="36"/>
    </row>
    <row r="752" spans="1:37" ht="14.25" customHeight="1">
      <c r="A752" s="36"/>
      <c r="B752" s="36"/>
      <c r="C752" s="77"/>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83"/>
      <c r="AH752" s="83"/>
      <c r="AI752" s="36"/>
      <c r="AK752" s="36"/>
    </row>
    <row r="753" spans="1:37" ht="14.25" customHeight="1">
      <c r="A753" s="36"/>
      <c r="B753" s="36"/>
      <c r="C753" s="77"/>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83"/>
      <c r="AH753" s="83"/>
      <c r="AI753" s="36"/>
      <c r="AK753" s="36"/>
    </row>
    <row r="754" spans="1:37" ht="14.25" customHeight="1">
      <c r="A754" s="36"/>
      <c r="B754" s="36"/>
      <c r="C754" s="77"/>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83"/>
      <c r="AH754" s="83"/>
      <c r="AI754" s="36"/>
      <c r="AK754" s="36"/>
    </row>
    <row r="755" spans="1:37" ht="14.25" customHeight="1">
      <c r="A755" s="36"/>
      <c r="B755" s="36"/>
      <c r="C755" s="77"/>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83"/>
      <c r="AH755" s="83"/>
      <c r="AI755" s="36"/>
      <c r="AK755" s="36"/>
    </row>
    <row r="756" spans="1:37" ht="14.25" customHeight="1">
      <c r="A756" s="36"/>
      <c r="B756" s="36"/>
      <c r="C756" s="77"/>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83"/>
      <c r="AH756" s="83"/>
      <c r="AI756" s="36"/>
      <c r="AK756" s="36"/>
    </row>
    <row r="757" spans="1:37" ht="14.25" customHeight="1">
      <c r="A757" s="36"/>
      <c r="B757" s="36"/>
      <c r="C757" s="77"/>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83"/>
      <c r="AH757" s="83"/>
      <c r="AI757" s="36"/>
      <c r="AK757" s="36"/>
    </row>
    <row r="758" spans="1:37" ht="14.25" customHeight="1">
      <c r="A758" s="36"/>
      <c r="B758" s="36"/>
      <c r="C758" s="77"/>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83"/>
      <c r="AH758" s="83"/>
      <c r="AI758" s="36"/>
      <c r="AK758" s="36"/>
    </row>
    <row r="759" spans="1:37" ht="14.25" customHeight="1">
      <c r="A759" s="36"/>
      <c r="B759" s="36"/>
      <c r="C759" s="77"/>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83"/>
      <c r="AH759" s="83"/>
      <c r="AI759" s="36"/>
      <c r="AK759" s="36"/>
    </row>
    <row r="760" spans="1:37" ht="14.25" customHeight="1">
      <c r="A760" s="36"/>
      <c r="B760" s="36"/>
      <c r="C760" s="77"/>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83"/>
      <c r="AH760" s="83"/>
      <c r="AI760" s="36"/>
      <c r="AK760" s="36"/>
    </row>
    <row r="761" spans="1:37" ht="14.25" customHeight="1">
      <c r="A761" s="36"/>
      <c r="B761" s="36"/>
      <c r="C761" s="77"/>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83"/>
      <c r="AH761" s="83"/>
      <c r="AI761" s="36"/>
      <c r="AK761" s="36"/>
    </row>
    <row r="762" spans="1:37" ht="14.25" customHeight="1">
      <c r="A762" s="36"/>
      <c r="B762" s="36"/>
      <c r="C762" s="77"/>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83"/>
      <c r="AH762" s="83"/>
      <c r="AI762" s="36"/>
      <c r="AK762" s="36"/>
    </row>
    <row r="763" spans="1:37" ht="14.25" customHeight="1">
      <c r="A763" s="36"/>
      <c r="B763" s="36"/>
      <c r="C763" s="77"/>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83"/>
      <c r="AH763" s="83"/>
      <c r="AI763" s="36"/>
      <c r="AK763" s="36"/>
    </row>
    <row r="764" spans="1:37" ht="14.25" customHeight="1">
      <c r="A764" s="36"/>
      <c r="B764" s="36"/>
      <c r="C764" s="77"/>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83"/>
      <c r="AH764" s="83"/>
      <c r="AI764" s="36"/>
      <c r="AK764" s="36"/>
    </row>
    <row r="765" spans="1:37" ht="14.25" customHeight="1">
      <c r="A765" s="36"/>
      <c r="B765" s="36"/>
      <c r="C765" s="77"/>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83"/>
      <c r="AH765" s="83"/>
      <c r="AI765" s="36"/>
      <c r="AK765" s="36"/>
    </row>
    <row r="766" spans="1:37" ht="14.25" customHeight="1">
      <c r="A766" s="36"/>
      <c r="B766" s="36"/>
      <c r="C766" s="77"/>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83"/>
      <c r="AH766" s="83"/>
      <c r="AI766" s="36"/>
      <c r="AK766" s="36"/>
    </row>
    <row r="767" spans="1:37" ht="14.25" customHeight="1">
      <c r="A767" s="36"/>
      <c r="B767" s="36"/>
      <c r="C767" s="77"/>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83"/>
      <c r="AH767" s="83"/>
      <c r="AI767" s="36"/>
      <c r="AK767" s="36"/>
    </row>
    <row r="768" spans="1:37" ht="14.25" customHeight="1">
      <c r="A768" s="36"/>
      <c r="B768" s="36"/>
      <c r="C768" s="77"/>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83"/>
      <c r="AH768" s="83"/>
      <c r="AI768" s="36"/>
      <c r="AK768" s="36"/>
    </row>
    <row r="769" spans="1:37" ht="14.25" customHeight="1">
      <c r="A769" s="36"/>
      <c r="B769" s="36"/>
      <c r="C769" s="77"/>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83"/>
      <c r="AH769" s="83"/>
      <c r="AI769" s="36"/>
      <c r="AK769" s="36"/>
    </row>
    <row r="770" spans="1:37" ht="14.25" customHeight="1">
      <c r="A770" s="36"/>
      <c r="B770" s="36"/>
      <c r="C770" s="77"/>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83"/>
      <c r="AH770" s="83"/>
      <c r="AI770" s="36"/>
      <c r="AK770" s="36"/>
    </row>
    <row r="771" spans="1:37" ht="14.25" customHeight="1">
      <c r="A771" s="36"/>
      <c r="B771" s="36"/>
      <c r="C771" s="77"/>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83"/>
      <c r="AH771" s="83"/>
      <c r="AI771" s="36"/>
      <c r="AK771" s="36"/>
    </row>
    <row r="772" spans="1:37" ht="14.25" customHeight="1">
      <c r="A772" s="36"/>
      <c r="B772" s="36"/>
      <c r="C772" s="77"/>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83"/>
      <c r="AH772" s="83"/>
      <c r="AI772" s="36"/>
      <c r="AK772" s="36"/>
    </row>
    <row r="773" spans="1:37" ht="14.25" customHeight="1">
      <c r="A773" s="36"/>
      <c r="B773" s="36"/>
      <c r="C773" s="77"/>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83"/>
      <c r="AH773" s="83"/>
      <c r="AI773" s="36"/>
      <c r="AK773" s="36"/>
    </row>
    <row r="774" spans="1:37" ht="14.25" customHeight="1">
      <c r="A774" s="36"/>
      <c r="B774" s="36"/>
      <c r="C774" s="77"/>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83"/>
      <c r="AH774" s="83"/>
      <c r="AI774" s="36"/>
      <c r="AK774" s="36"/>
    </row>
    <row r="775" spans="1:37" ht="14.25" customHeight="1">
      <c r="A775" s="36"/>
      <c r="B775" s="36"/>
      <c r="C775" s="77"/>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83"/>
      <c r="AH775" s="83"/>
      <c r="AI775" s="36"/>
      <c r="AK775" s="36"/>
    </row>
    <row r="776" spans="1:37" ht="14.25" customHeight="1">
      <c r="A776" s="36"/>
      <c r="B776" s="36"/>
      <c r="C776" s="77"/>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83"/>
      <c r="AH776" s="83"/>
      <c r="AI776" s="36"/>
      <c r="AK776" s="36"/>
    </row>
    <row r="777" spans="1:37" ht="14.25" customHeight="1">
      <c r="A777" s="36"/>
      <c r="B777" s="36"/>
      <c r="C777" s="77"/>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83"/>
      <c r="AH777" s="83"/>
      <c r="AI777" s="36"/>
      <c r="AK777" s="36"/>
    </row>
    <row r="778" spans="1:37" ht="14.25" customHeight="1">
      <c r="A778" s="36"/>
      <c r="B778" s="36"/>
      <c r="C778" s="77"/>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83"/>
      <c r="AH778" s="83"/>
      <c r="AI778" s="36"/>
      <c r="AK778" s="36"/>
    </row>
    <row r="779" spans="1:37" ht="14.25" customHeight="1">
      <c r="A779" s="36"/>
      <c r="B779" s="36"/>
      <c r="C779" s="77"/>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83"/>
      <c r="AH779" s="83"/>
      <c r="AI779" s="36"/>
      <c r="AK779" s="36"/>
    </row>
    <row r="780" spans="1:37" ht="14.25" customHeight="1">
      <c r="A780" s="36"/>
      <c r="B780" s="36"/>
      <c r="C780" s="77"/>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83"/>
      <c r="AH780" s="83"/>
      <c r="AI780" s="36"/>
      <c r="AK780" s="36"/>
    </row>
    <row r="781" spans="1:37" ht="14.25" customHeight="1">
      <c r="A781" s="36"/>
      <c r="B781" s="36"/>
      <c r="C781" s="77"/>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83"/>
      <c r="AH781" s="83"/>
      <c r="AI781" s="36"/>
      <c r="AK781" s="36"/>
    </row>
    <row r="782" spans="1:37" ht="14.25" customHeight="1">
      <c r="A782" s="36"/>
      <c r="B782" s="36"/>
      <c r="C782" s="77"/>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83"/>
      <c r="AH782" s="83"/>
      <c r="AI782" s="36"/>
      <c r="AK782" s="36"/>
    </row>
    <row r="783" spans="1:37" ht="14.25" customHeight="1">
      <c r="A783" s="36"/>
      <c r="B783" s="36"/>
      <c r="C783" s="77"/>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83"/>
      <c r="AH783" s="83"/>
      <c r="AI783" s="36"/>
      <c r="AK783" s="36"/>
    </row>
    <row r="784" spans="1:37" ht="14.25" customHeight="1">
      <c r="A784" s="36"/>
      <c r="B784" s="36"/>
      <c r="C784" s="77"/>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83"/>
      <c r="AH784" s="83"/>
      <c r="AI784" s="36"/>
      <c r="AK784" s="36"/>
    </row>
    <row r="785" spans="1:37" ht="14.25" customHeight="1">
      <c r="A785" s="36"/>
      <c r="B785" s="36"/>
      <c r="C785" s="77"/>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83"/>
      <c r="AH785" s="83"/>
      <c r="AI785" s="36"/>
      <c r="AK785" s="36"/>
    </row>
    <row r="786" spans="1:37" ht="14.25" customHeight="1">
      <c r="A786" s="36"/>
      <c r="B786" s="36"/>
      <c r="C786" s="77"/>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83"/>
      <c r="AH786" s="83"/>
      <c r="AI786" s="36"/>
      <c r="AK786" s="36"/>
    </row>
    <row r="787" spans="1:37" ht="14.25" customHeight="1">
      <c r="A787" s="36"/>
      <c r="B787" s="36"/>
      <c r="C787" s="77"/>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83"/>
      <c r="AH787" s="83"/>
      <c r="AI787" s="36"/>
      <c r="AK787" s="36"/>
    </row>
    <row r="788" spans="1:37" ht="14.25" customHeight="1">
      <c r="A788" s="36"/>
      <c r="B788" s="36"/>
      <c r="C788" s="77"/>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83"/>
      <c r="AH788" s="83"/>
      <c r="AI788" s="36"/>
      <c r="AK788" s="36"/>
    </row>
    <row r="789" spans="1:37" ht="14.25" customHeight="1">
      <c r="A789" s="36"/>
      <c r="B789" s="36"/>
      <c r="C789" s="77"/>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83"/>
      <c r="AH789" s="83"/>
      <c r="AI789" s="36"/>
      <c r="AK789" s="36"/>
    </row>
    <row r="790" spans="1:37" ht="14.25" customHeight="1">
      <c r="A790" s="36"/>
      <c r="B790" s="36"/>
      <c r="C790" s="77"/>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83"/>
      <c r="AH790" s="83"/>
      <c r="AI790" s="36"/>
      <c r="AK790" s="36"/>
    </row>
    <row r="791" spans="1:37" ht="14.25" customHeight="1">
      <c r="A791" s="36"/>
      <c r="B791" s="36"/>
      <c r="C791" s="77"/>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83"/>
      <c r="AH791" s="83"/>
      <c r="AI791" s="36"/>
      <c r="AK791" s="36"/>
    </row>
    <row r="792" spans="1:37" ht="14.25" customHeight="1">
      <c r="A792" s="36"/>
      <c r="B792" s="36"/>
      <c r="C792" s="77"/>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83"/>
      <c r="AH792" s="83"/>
      <c r="AI792" s="36"/>
      <c r="AK792" s="36"/>
    </row>
    <row r="793" spans="1:37" ht="14.25" customHeight="1">
      <c r="A793" s="36"/>
      <c r="B793" s="36"/>
      <c r="C793" s="77"/>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83"/>
      <c r="AH793" s="83"/>
      <c r="AI793" s="36"/>
      <c r="AK793" s="36"/>
    </row>
    <row r="794" spans="1:37" ht="14.25" customHeight="1">
      <c r="A794" s="36"/>
      <c r="B794" s="36"/>
      <c r="C794" s="77"/>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83"/>
      <c r="AH794" s="83"/>
      <c r="AI794" s="36"/>
      <c r="AK794" s="36"/>
    </row>
    <row r="795" spans="1:37" ht="14.25" customHeight="1">
      <c r="A795" s="36"/>
      <c r="B795" s="36"/>
      <c r="C795" s="77"/>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83"/>
      <c r="AH795" s="83"/>
      <c r="AI795" s="36"/>
      <c r="AK795" s="36"/>
    </row>
    <row r="796" spans="1:37" ht="14.25" customHeight="1">
      <c r="A796" s="36"/>
      <c r="B796" s="36"/>
      <c r="C796" s="77"/>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83"/>
      <c r="AH796" s="83"/>
      <c r="AI796" s="36"/>
      <c r="AK796" s="36"/>
    </row>
    <row r="797" spans="1:37" ht="14.25" customHeight="1">
      <c r="A797" s="36"/>
      <c r="B797" s="36"/>
      <c r="C797" s="77"/>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83"/>
      <c r="AH797" s="83"/>
      <c r="AI797" s="36"/>
      <c r="AK797" s="36"/>
    </row>
    <row r="798" spans="1:37" ht="14.25" customHeight="1">
      <c r="A798" s="36"/>
      <c r="B798" s="36"/>
      <c r="C798" s="77"/>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83"/>
      <c r="AH798" s="83"/>
      <c r="AI798" s="36"/>
      <c r="AK798" s="36"/>
    </row>
    <row r="799" spans="1:37" ht="14.25" customHeight="1">
      <c r="A799" s="36"/>
      <c r="B799" s="36"/>
      <c r="C799" s="77"/>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83"/>
      <c r="AH799" s="83"/>
      <c r="AI799" s="36"/>
      <c r="AK799" s="36"/>
    </row>
    <row r="800" spans="1:37" ht="14.25" customHeight="1">
      <c r="A800" s="36"/>
      <c r="B800" s="36"/>
      <c r="C800" s="77"/>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83"/>
      <c r="AH800" s="83"/>
      <c r="AI800" s="36"/>
      <c r="AK800" s="36"/>
    </row>
    <row r="801" spans="1:37" ht="14.25" customHeight="1">
      <c r="A801" s="36"/>
      <c r="B801" s="36"/>
      <c r="C801" s="77"/>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83"/>
      <c r="AH801" s="83"/>
      <c r="AI801" s="36"/>
      <c r="AK801" s="36"/>
    </row>
    <row r="802" spans="1:37" ht="14.25" customHeight="1">
      <c r="A802" s="36"/>
      <c r="B802" s="36"/>
      <c r="C802" s="77"/>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83"/>
      <c r="AH802" s="83"/>
      <c r="AI802" s="36"/>
      <c r="AK802" s="36"/>
    </row>
    <row r="803" spans="1:37" ht="14.25" customHeight="1">
      <c r="A803" s="36"/>
      <c r="B803" s="36"/>
      <c r="C803" s="77"/>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83"/>
      <c r="AH803" s="83"/>
      <c r="AI803" s="36"/>
      <c r="AK803" s="36"/>
    </row>
    <row r="804" spans="1:37" ht="14.25" customHeight="1">
      <c r="A804" s="36"/>
      <c r="B804" s="36"/>
      <c r="C804" s="77"/>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83"/>
      <c r="AH804" s="83"/>
      <c r="AI804" s="36"/>
      <c r="AK804" s="36"/>
    </row>
    <row r="805" spans="1:37" ht="14.25" customHeight="1">
      <c r="A805" s="36"/>
      <c r="B805" s="36"/>
      <c r="C805" s="77"/>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83"/>
      <c r="AH805" s="83"/>
      <c r="AI805" s="36"/>
      <c r="AK805" s="36"/>
    </row>
    <row r="806" spans="1:37" ht="14.25" customHeight="1">
      <c r="A806" s="36"/>
      <c r="B806" s="36"/>
      <c r="C806" s="77"/>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83"/>
      <c r="AH806" s="83"/>
      <c r="AI806" s="36"/>
      <c r="AK806" s="36"/>
    </row>
    <row r="807" spans="1:37" ht="14.25" customHeight="1">
      <c r="A807" s="36"/>
      <c r="B807" s="36"/>
      <c r="C807" s="77"/>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83"/>
      <c r="AH807" s="83"/>
      <c r="AI807" s="36"/>
      <c r="AK807" s="36"/>
    </row>
    <row r="808" spans="1:37" ht="14.25" customHeight="1">
      <c r="A808" s="36"/>
      <c r="B808" s="36"/>
      <c r="C808" s="77"/>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83"/>
      <c r="AH808" s="83"/>
      <c r="AI808" s="36"/>
      <c r="AK808" s="36"/>
    </row>
    <row r="809" spans="1:37" ht="14.25" customHeight="1">
      <c r="A809" s="36"/>
      <c r="B809" s="36"/>
      <c r="C809" s="77"/>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83"/>
      <c r="AH809" s="83"/>
      <c r="AI809" s="36"/>
      <c r="AK809" s="36"/>
    </row>
    <row r="810" spans="1:37" ht="14.25" customHeight="1">
      <c r="A810" s="36"/>
      <c r="B810" s="36"/>
      <c r="C810" s="77"/>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83"/>
      <c r="AH810" s="83"/>
      <c r="AI810" s="36"/>
      <c r="AK810" s="36"/>
    </row>
    <row r="811" spans="1:37" ht="14.25" customHeight="1">
      <c r="A811" s="36"/>
      <c r="B811" s="36"/>
      <c r="C811" s="77"/>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83"/>
      <c r="AH811" s="83"/>
      <c r="AI811" s="36"/>
      <c r="AK811" s="36"/>
    </row>
    <row r="812" spans="1:37" ht="14.25" customHeight="1">
      <c r="A812" s="36"/>
      <c r="B812" s="36"/>
      <c r="C812" s="77"/>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83"/>
      <c r="AH812" s="83"/>
      <c r="AI812" s="36"/>
      <c r="AK812" s="36"/>
    </row>
    <row r="813" spans="1:37" ht="14.25" customHeight="1">
      <c r="A813" s="36"/>
      <c r="B813" s="36"/>
      <c r="C813" s="77"/>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83"/>
      <c r="AH813" s="83"/>
      <c r="AI813" s="36"/>
      <c r="AK813" s="36"/>
    </row>
    <row r="814" spans="1:37" ht="14.25" customHeight="1">
      <c r="A814" s="36"/>
      <c r="B814" s="36"/>
      <c r="C814" s="77"/>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83"/>
      <c r="AH814" s="83"/>
      <c r="AI814" s="36"/>
      <c r="AK814" s="36"/>
    </row>
    <row r="815" spans="1:37" ht="14.25" customHeight="1">
      <c r="A815" s="36"/>
      <c r="B815" s="36"/>
      <c r="C815" s="77"/>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83"/>
      <c r="AH815" s="83"/>
      <c r="AI815" s="36"/>
      <c r="AK815" s="36"/>
    </row>
    <row r="816" spans="1:37" ht="14.25" customHeight="1">
      <c r="A816" s="36"/>
      <c r="B816" s="36"/>
      <c r="C816" s="77"/>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83"/>
      <c r="AH816" s="83"/>
      <c r="AI816" s="36"/>
      <c r="AK816" s="36"/>
    </row>
    <row r="817" spans="1:37" ht="14.25" customHeight="1">
      <c r="A817" s="36"/>
      <c r="B817" s="36"/>
      <c r="C817" s="77"/>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83"/>
      <c r="AH817" s="83"/>
      <c r="AI817" s="36"/>
      <c r="AK817" s="36"/>
    </row>
    <row r="818" spans="1:37" ht="14.25" customHeight="1">
      <c r="A818" s="36"/>
      <c r="B818" s="36"/>
      <c r="C818" s="77"/>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83"/>
      <c r="AH818" s="83"/>
      <c r="AI818" s="36"/>
      <c r="AK818" s="36"/>
    </row>
    <row r="819" spans="1:37" ht="14.25" customHeight="1">
      <c r="A819" s="36"/>
      <c r="B819" s="36"/>
      <c r="C819" s="77"/>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83"/>
      <c r="AH819" s="83"/>
      <c r="AI819" s="36"/>
      <c r="AK819" s="36"/>
    </row>
    <row r="820" spans="1:37" ht="14.25" customHeight="1">
      <c r="A820" s="36"/>
      <c r="B820" s="36"/>
      <c r="C820" s="77"/>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83"/>
      <c r="AH820" s="83"/>
      <c r="AI820" s="36"/>
      <c r="AK820" s="36"/>
    </row>
    <row r="821" spans="1:37" ht="14.25" customHeight="1">
      <c r="A821" s="36"/>
      <c r="B821" s="36"/>
      <c r="C821" s="77"/>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83"/>
      <c r="AH821" s="83"/>
      <c r="AI821" s="36"/>
      <c r="AK821" s="36"/>
    </row>
    <row r="822" spans="1:37" ht="14.25" customHeight="1">
      <c r="A822" s="36"/>
      <c r="B822" s="36"/>
      <c r="C822" s="77"/>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83"/>
      <c r="AH822" s="83"/>
      <c r="AI822" s="36"/>
      <c r="AK822" s="36"/>
    </row>
    <row r="823" spans="1:37" ht="14.25" customHeight="1">
      <c r="A823" s="36"/>
      <c r="B823" s="36"/>
      <c r="C823" s="77"/>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83"/>
      <c r="AH823" s="83"/>
      <c r="AI823" s="36"/>
      <c r="AK823" s="36"/>
    </row>
    <row r="824" spans="1:37" ht="14.25" customHeight="1">
      <c r="A824" s="36"/>
      <c r="B824" s="36"/>
      <c r="C824" s="77"/>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83"/>
      <c r="AH824" s="83"/>
      <c r="AI824" s="36"/>
      <c r="AK824" s="36"/>
    </row>
    <row r="825" spans="1:37" ht="14.25" customHeight="1">
      <c r="A825" s="36"/>
      <c r="B825" s="36"/>
      <c r="C825" s="77"/>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83"/>
      <c r="AH825" s="83"/>
      <c r="AI825" s="36"/>
      <c r="AK825" s="36"/>
    </row>
    <row r="826" spans="1:37" ht="14.25" customHeight="1">
      <c r="A826" s="36"/>
      <c r="B826" s="36"/>
      <c r="C826" s="77"/>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83"/>
      <c r="AH826" s="83"/>
      <c r="AI826" s="36"/>
      <c r="AK826" s="36"/>
    </row>
    <row r="827" spans="1:37" ht="14.25" customHeight="1">
      <c r="A827" s="36"/>
      <c r="B827" s="36"/>
      <c r="C827" s="77"/>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83"/>
      <c r="AH827" s="83"/>
      <c r="AI827" s="36"/>
      <c r="AK827" s="36"/>
    </row>
    <row r="828" spans="1:37" ht="14.25" customHeight="1">
      <c r="A828" s="36"/>
      <c r="B828" s="36"/>
      <c r="C828" s="77"/>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83"/>
      <c r="AH828" s="83"/>
      <c r="AI828" s="36"/>
      <c r="AK828" s="36"/>
    </row>
    <row r="829" spans="1:37" ht="14.25" customHeight="1">
      <c r="A829" s="36"/>
      <c r="B829" s="36"/>
      <c r="C829" s="77"/>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83"/>
      <c r="AH829" s="83"/>
      <c r="AI829" s="36"/>
      <c r="AK829" s="36"/>
    </row>
    <row r="830" spans="1:37" ht="14.25" customHeight="1">
      <c r="A830" s="36"/>
      <c r="B830" s="36"/>
      <c r="C830" s="77"/>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83"/>
      <c r="AH830" s="83"/>
      <c r="AI830" s="36"/>
      <c r="AK830" s="36"/>
    </row>
    <row r="831" spans="1:37" ht="14.25" customHeight="1">
      <c r="A831" s="36"/>
      <c r="B831" s="36"/>
      <c r="C831" s="77"/>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83"/>
      <c r="AH831" s="83"/>
      <c r="AI831" s="36"/>
      <c r="AK831" s="36"/>
    </row>
    <row r="832" spans="1:37" ht="14.25" customHeight="1">
      <c r="A832" s="36"/>
      <c r="B832" s="36"/>
      <c r="C832" s="77"/>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83"/>
      <c r="AH832" s="83"/>
      <c r="AI832" s="36"/>
      <c r="AK832" s="36"/>
    </row>
    <row r="833" spans="1:37" ht="14.25" customHeight="1">
      <c r="A833" s="36"/>
      <c r="B833" s="36"/>
      <c r="C833" s="77"/>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83"/>
      <c r="AH833" s="83"/>
      <c r="AI833" s="36"/>
      <c r="AK833" s="36"/>
    </row>
    <row r="834" spans="1:37" ht="14.25" customHeight="1">
      <c r="A834" s="36"/>
      <c r="B834" s="36"/>
      <c r="C834" s="77"/>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83"/>
      <c r="AH834" s="83"/>
      <c r="AI834" s="36"/>
      <c r="AK834" s="36"/>
    </row>
    <row r="835" spans="1:37" ht="14.25" customHeight="1">
      <c r="A835" s="36"/>
      <c r="B835" s="36"/>
      <c r="C835" s="77"/>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83"/>
      <c r="AH835" s="83"/>
      <c r="AI835" s="36"/>
      <c r="AK835" s="36"/>
    </row>
    <row r="836" spans="1:37" ht="14.25" customHeight="1">
      <c r="A836" s="36"/>
      <c r="B836" s="36"/>
      <c r="C836" s="77"/>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83"/>
      <c r="AH836" s="83"/>
      <c r="AI836" s="36"/>
      <c r="AK836" s="36"/>
    </row>
    <row r="837" spans="1:37" ht="14.25" customHeight="1">
      <c r="A837" s="36"/>
      <c r="B837" s="36"/>
      <c r="C837" s="77"/>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83"/>
      <c r="AH837" s="83"/>
      <c r="AI837" s="36"/>
      <c r="AK837" s="36"/>
    </row>
    <row r="838" spans="1:37" ht="14.25" customHeight="1">
      <c r="A838" s="36"/>
      <c r="B838" s="36"/>
      <c r="C838" s="77"/>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83"/>
      <c r="AH838" s="83"/>
      <c r="AI838" s="36"/>
      <c r="AK838" s="36"/>
    </row>
    <row r="839" spans="1:37" ht="14.25" customHeight="1">
      <c r="A839" s="36"/>
      <c r="B839" s="36"/>
      <c r="C839" s="77"/>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83"/>
      <c r="AH839" s="83"/>
      <c r="AI839" s="36"/>
      <c r="AK839" s="36"/>
    </row>
    <row r="840" spans="1:37" ht="14.25" customHeight="1">
      <c r="A840" s="36"/>
      <c r="B840" s="36"/>
      <c r="C840" s="77"/>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83"/>
      <c r="AH840" s="83"/>
      <c r="AI840" s="36"/>
      <c r="AK840" s="36"/>
    </row>
    <row r="841" spans="1:37" ht="14.25" customHeight="1">
      <c r="A841" s="36"/>
      <c r="B841" s="36"/>
      <c r="C841" s="77"/>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83"/>
      <c r="AH841" s="83"/>
      <c r="AI841" s="36"/>
      <c r="AK841" s="36"/>
    </row>
    <row r="842" spans="1:37" ht="14.25" customHeight="1">
      <c r="A842" s="36"/>
      <c r="B842" s="36"/>
      <c r="C842" s="77"/>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83"/>
      <c r="AH842" s="83"/>
      <c r="AI842" s="36"/>
      <c r="AK842" s="36"/>
    </row>
    <row r="843" spans="1:37" ht="14.25" customHeight="1">
      <c r="A843" s="36"/>
      <c r="B843" s="36"/>
      <c r="C843" s="77"/>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83"/>
      <c r="AH843" s="83"/>
      <c r="AI843" s="36"/>
      <c r="AK843" s="36"/>
    </row>
    <row r="844" spans="1:37" ht="14.25" customHeight="1">
      <c r="A844" s="36"/>
      <c r="B844" s="36"/>
      <c r="C844" s="77"/>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83"/>
      <c r="AH844" s="83"/>
      <c r="AI844" s="36"/>
      <c r="AK844" s="36"/>
    </row>
    <row r="845" spans="1:37" ht="14.25" customHeight="1">
      <c r="A845" s="36"/>
      <c r="B845" s="36"/>
      <c r="C845" s="77"/>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83"/>
      <c r="AH845" s="83"/>
      <c r="AI845" s="36"/>
      <c r="AK845" s="36"/>
    </row>
    <row r="846" spans="1:37" ht="14.25" customHeight="1">
      <c r="A846" s="36"/>
      <c r="B846" s="36"/>
      <c r="C846" s="77"/>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83"/>
      <c r="AH846" s="83"/>
      <c r="AI846" s="36"/>
      <c r="AK846" s="36"/>
    </row>
    <row r="847" spans="1:37" ht="14.25" customHeight="1">
      <c r="A847" s="36"/>
      <c r="B847" s="36"/>
      <c r="C847" s="77"/>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83"/>
      <c r="AH847" s="83"/>
      <c r="AI847" s="36"/>
      <c r="AK847" s="36"/>
    </row>
    <row r="848" spans="1:37" ht="14.25" customHeight="1">
      <c r="A848" s="36"/>
      <c r="B848" s="36"/>
      <c r="C848" s="77"/>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83"/>
      <c r="AH848" s="83"/>
      <c r="AI848" s="36"/>
      <c r="AK848" s="36"/>
    </row>
    <row r="849" spans="1:37" ht="14.25" customHeight="1">
      <c r="A849" s="36"/>
      <c r="B849" s="36"/>
      <c r="C849" s="77"/>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83"/>
      <c r="AH849" s="83"/>
      <c r="AI849" s="36"/>
      <c r="AK849" s="36"/>
    </row>
    <row r="850" spans="1:37" ht="14.25" customHeight="1">
      <c r="A850" s="36"/>
      <c r="B850" s="36"/>
      <c r="C850" s="77"/>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83"/>
      <c r="AH850" s="83"/>
      <c r="AI850" s="36"/>
      <c r="AK850" s="36"/>
    </row>
    <row r="851" spans="1:37" ht="14.25" customHeight="1">
      <c r="A851" s="36"/>
      <c r="B851" s="36"/>
      <c r="C851" s="77"/>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83"/>
      <c r="AH851" s="83"/>
      <c r="AI851" s="36"/>
      <c r="AK851" s="36"/>
    </row>
    <row r="852" spans="1:37" ht="14.25" customHeight="1">
      <c r="A852" s="36"/>
      <c r="B852" s="36"/>
      <c r="C852" s="77"/>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83"/>
      <c r="AH852" s="83"/>
      <c r="AI852" s="36"/>
      <c r="AK852" s="36"/>
    </row>
    <row r="853" spans="1:37" ht="14.25" customHeight="1">
      <c r="A853" s="36"/>
      <c r="B853" s="36"/>
      <c r="C853" s="77"/>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83"/>
      <c r="AH853" s="83"/>
      <c r="AI853" s="36"/>
      <c r="AK853" s="36"/>
    </row>
    <row r="854" spans="1:37" ht="14.25" customHeight="1">
      <c r="A854" s="36"/>
      <c r="B854" s="36"/>
      <c r="C854" s="77"/>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83"/>
      <c r="AH854" s="83"/>
      <c r="AI854" s="36"/>
      <c r="AK854" s="36"/>
    </row>
    <row r="855" spans="1:37" ht="14.25" customHeight="1">
      <c r="A855" s="36"/>
      <c r="B855" s="36"/>
      <c r="C855" s="77"/>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83"/>
      <c r="AH855" s="83"/>
      <c r="AI855" s="36"/>
      <c r="AK855" s="36"/>
    </row>
    <row r="856" spans="1:37" ht="14.25" customHeight="1">
      <c r="A856" s="36"/>
      <c r="B856" s="36"/>
      <c r="C856" s="77"/>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83"/>
      <c r="AH856" s="83"/>
      <c r="AI856" s="36"/>
      <c r="AK856" s="36"/>
    </row>
    <row r="857" spans="1:37" ht="14.25" customHeight="1">
      <c r="A857" s="36"/>
      <c r="B857" s="36"/>
      <c r="C857" s="77"/>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83"/>
      <c r="AH857" s="83"/>
      <c r="AI857" s="36"/>
      <c r="AK857" s="36"/>
    </row>
    <row r="858" spans="1:37" ht="14.25" customHeight="1">
      <c r="A858" s="36"/>
      <c r="B858" s="36"/>
      <c r="C858" s="77"/>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83"/>
      <c r="AH858" s="83"/>
      <c r="AI858" s="36"/>
      <c r="AK858" s="36"/>
    </row>
    <row r="859" spans="1:37" ht="14.25" customHeight="1">
      <c r="A859" s="36"/>
      <c r="B859" s="36"/>
      <c r="C859" s="77"/>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83"/>
      <c r="AH859" s="83"/>
      <c r="AI859" s="36"/>
      <c r="AK859" s="36"/>
    </row>
    <row r="860" spans="1:37" ht="14.25" customHeight="1">
      <c r="A860" s="36"/>
      <c r="B860" s="36"/>
      <c r="C860" s="77"/>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83"/>
      <c r="AH860" s="83"/>
      <c r="AI860" s="36"/>
      <c r="AK860" s="36"/>
    </row>
    <row r="861" spans="1:37" ht="14.25" customHeight="1">
      <c r="A861" s="36"/>
      <c r="B861" s="36"/>
      <c r="C861" s="77"/>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83"/>
      <c r="AH861" s="83"/>
      <c r="AI861" s="36"/>
      <c r="AK861" s="36"/>
    </row>
    <row r="862" spans="1:37" ht="14.25" customHeight="1">
      <c r="A862" s="36"/>
      <c r="B862" s="36"/>
      <c r="C862" s="77"/>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83"/>
      <c r="AH862" s="83"/>
      <c r="AI862" s="36"/>
      <c r="AK862" s="36"/>
    </row>
    <row r="863" spans="1:37" ht="14.25" customHeight="1">
      <c r="A863" s="36"/>
      <c r="B863" s="36"/>
      <c r="C863" s="77"/>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83"/>
      <c r="AH863" s="83"/>
      <c r="AI863" s="36"/>
      <c r="AK863" s="36"/>
    </row>
    <row r="864" spans="1:37" ht="14.25" customHeight="1">
      <c r="A864" s="36"/>
      <c r="B864" s="36"/>
      <c r="C864" s="77"/>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83"/>
      <c r="AH864" s="83"/>
      <c r="AI864" s="36"/>
      <c r="AK864" s="36"/>
    </row>
    <row r="865" spans="1:37" ht="14.25" customHeight="1">
      <c r="A865" s="36"/>
      <c r="B865" s="36"/>
      <c r="C865" s="77"/>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83"/>
      <c r="AH865" s="83"/>
      <c r="AI865" s="36"/>
      <c r="AK865" s="36"/>
    </row>
    <row r="866" spans="1:37" ht="14.25" customHeight="1">
      <c r="A866" s="36"/>
      <c r="B866" s="36"/>
      <c r="C866" s="77"/>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83"/>
      <c r="AH866" s="83"/>
      <c r="AI866" s="36"/>
      <c r="AK866" s="36"/>
    </row>
    <row r="867" spans="1:37" ht="14.25" customHeight="1">
      <c r="A867" s="36"/>
      <c r="B867" s="36"/>
      <c r="C867" s="77"/>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83"/>
      <c r="AH867" s="83"/>
      <c r="AI867" s="36"/>
      <c r="AK867" s="36"/>
    </row>
    <row r="868" spans="1:37" ht="14.25" customHeight="1">
      <c r="A868" s="36"/>
      <c r="B868" s="36"/>
      <c r="C868" s="77"/>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83"/>
      <c r="AH868" s="83"/>
      <c r="AI868" s="36"/>
      <c r="AK868" s="36"/>
    </row>
    <row r="869" spans="1:37" ht="14.25" customHeight="1">
      <c r="A869" s="36"/>
      <c r="B869" s="36"/>
      <c r="C869" s="77"/>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83"/>
      <c r="AH869" s="83"/>
      <c r="AI869" s="36"/>
      <c r="AK869" s="36"/>
    </row>
    <row r="870" spans="1:37" ht="14.25" customHeight="1">
      <c r="A870" s="36"/>
      <c r="B870" s="36"/>
      <c r="C870" s="77"/>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83"/>
      <c r="AH870" s="83"/>
      <c r="AI870" s="36"/>
      <c r="AK870" s="36"/>
    </row>
    <row r="871" spans="1:37" ht="14.25" customHeight="1">
      <c r="A871" s="36"/>
      <c r="B871" s="36"/>
      <c r="C871" s="77"/>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83"/>
      <c r="AH871" s="83"/>
      <c r="AI871" s="36"/>
      <c r="AK871" s="36"/>
    </row>
    <row r="872" spans="1:37" ht="14.25" customHeight="1">
      <c r="A872" s="36"/>
      <c r="B872" s="36"/>
      <c r="C872" s="77"/>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83"/>
      <c r="AH872" s="83"/>
      <c r="AI872" s="36"/>
      <c r="AK872" s="36"/>
    </row>
    <row r="873" spans="1:37" ht="14.25" customHeight="1">
      <c r="A873" s="36"/>
      <c r="B873" s="36"/>
      <c r="C873" s="77"/>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83"/>
      <c r="AH873" s="83"/>
      <c r="AI873" s="36"/>
      <c r="AK873" s="36"/>
    </row>
    <row r="874" spans="1:37" ht="14.25" customHeight="1">
      <c r="A874" s="36"/>
      <c r="B874" s="36"/>
      <c r="C874" s="77"/>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83"/>
      <c r="AH874" s="83"/>
      <c r="AI874" s="36"/>
      <c r="AK874" s="36"/>
    </row>
    <row r="875" spans="1:37" ht="14.25" customHeight="1">
      <c r="A875" s="36"/>
      <c r="B875" s="36"/>
      <c r="C875" s="77"/>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83"/>
      <c r="AH875" s="83"/>
      <c r="AI875" s="36"/>
      <c r="AK875" s="36"/>
    </row>
    <row r="876" spans="1:37" ht="14.25" customHeight="1">
      <c r="A876" s="36"/>
      <c r="B876" s="36"/>
      <c r="C876" s="77"/>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83"/>
      <c r="AH876" s="83"/>
      <c r="AI876" s="36"/>
      <c r="AK876" s="36"/>
    </row>
    <row r="877" spans="1:37" ht="14.25" customHeight="1">
      <c r="A877" s="36"/>
      <c r="B877" s="36"/>
      <c r="C877" s="77"/>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83"/>
      <c r="AH877" s="83"/>
      <c r="AI877" s="36"/>
      <c r="AK877" s="36"/>
    </row>
    <row r="878" spans="1:37" ht="14.25" customHeight="1">
      <c r="A878" s="36"/>
      <c r="B878" s="36"/>
      <c r="C878" s="77"/>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83"/>
      <c r="AH878" s="83"/>
      <c r="AI878" s="36"/>
      <c r="AK878" s="36"/>
    </row>
    <row r="879" spans="1:37" ht="14.25" customHeight="1">
      <c r="A879" s="36"/>
      <c r="B879" s="36"/>
      <c r="C879" s="77"/>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83"/>
      <c r="AH879" s="83"/>
      <c r="AI879" s="36"/>
      <c r="AK879" s="36"/>
    </row>
    <row r="880" spans="1:37" ht="14.25" customHeight="1">
      <c r="A880" s="36"/>
      <c r="B880" s="36"/>
      <c r="C880" s="77"/>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83"/>
      <c r="AH880" s="83"/>
      <c r="AI880" s="36"/>
      <c r="AK880" s="36"/>
    </row>
    <row r="881" spans="1:37" ht="14.25" customHeight="1">
      <c r="A881" s="36"/>
      <c r="B881" s="36"/>
      <c r="C881" s="77"/>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83"/>
      <c r="AH881" s="83"/>
      <c r="AI881" s="36"/>
      <c r="AK881" s="36"/>
    </row>
    <row r="882" spans="1:37" ht="14.25" customHeight="1">
      <c r="A882" s="36"/>
      <c r="B882" s="36"/>
      <c r="C882" s="77"/>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83"/>
      <c r="AH882" s="83"/>
      <c r="AI882" s="36"/>
      <c r="AK882" s="36"/>
    </row>
    <row r="883" spans="1:37" ht="14.25" customHeight="1">
      <c r="A883" s="36"/>
      <c r="B883" s="36"/>
      <c r="C883" s="77"/>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83"/>
      <c r="AH883" s="83"/>
      <c r="AI883" s="36"/>
      <c r="AK883" s="36"/>
    </row>
    <row r="884" spans="1:37" ht="14.25" customHeight="1">
      <c r="A884" s="36"/>
      <c r="B884" s="36"/>
      <c r="C884" s="77"/>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83"/>
      <c r="AH884" s="83"/>
      <c r="AI884" s="36"/>
      <c r="AK884" s="36"/>
    </row>
    <row r="885" spans="1:37" ht="14.25" customHeight="1">
      <c r="A885" s="36"/>
      <c r="B885" s="36"/>
      <c r="C885" s="77"/>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83"/>
      <c r="AH885" s="83"/>
      <c r="AI885" s="36"/>
      <c r="AK885" s="36"/>
    </row>
    <row r="886" spans="1:37" ht="14.25" customHeight="1">
      <c r="A886" s="36"/>
      <c r="B886" s="36"/>
      <c r="C886" s="77"/>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83"/>
      <c r="AH886" s="83"/>
      <c r="AI886" s="36"/>
      <c r="AK886" s="36"/>
    </row>
    <row r="887" spans="1:37" ht="14.25" customHeight="1">
      <c r="A887" s="36"/>
      <c r="B887" s="36"/>
      <c r="C887" s="77"/>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83"/>
      <c r="AH887" s="83"/>
      <c r="AI887" s="36"/>
      <c r="AK887" s="36"/>
    </row>
    <row r="888" spans="1:37" ht="14.25" customHeight="1">
      <c r="A888" s="36"/>
      <c r="B888" s="36"/>
      <c r="C888" s="77"/>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83"/>
      <c r="AH888" s="83"/>
      <c r="AI888" s="36"/>
      <c r="AK888" s="36"/>
    </row>
    <row r="889" spans="1:37" ht="14.25" customHeight="1">
      <c r="A889" s="36"/>
      <c r="B889" s="36"/>
      <c r="C889" s="77"/>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83"/>
      <c r="AH889" s="83"/>
      <c r="AI889" s="36"/>
      <c r="AK889" s="36"/>
    </row>
    <row r="890" spans="1:37" ht="14.25" customHeight="1">
      <c r="A890" s="36"/>
      <c r="B890" s="36"/>
      <c r="C890" s="77"/>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83"/>
      <c r="AH890" s="83"/>
      <c r="AI890" s="36"/>
      <c r="AK890" s="36"/>
    </row>
    <row r="891" spans="1:37" ht="14.25" customHeight="1">
      <c r="A891" s="36"/>
      <c r="B891" s="36"/>
      <c r="C891" s="77"/>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83"/>
      <c r="AH891" s="83"/>
      <c r="AI891" s="36"/>
      <c r="AK891" s="36"/>
    </row>
    <row r="892" spans="1:37" ht="14.25" customHeight="1">
      <c r="A892" s="36"/>
      <c r="B892" s="36"/>
      <c r="C892" s="77"/>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83"/>
      <c r="AH892" s="83"/>
      <c r="AI892" s="36"/>
      <c r="AK892" s="36"/>
    </row>
    <row r="893" spans="1:37" ht="14.25" customHeight="1">
      <c r="A893" s="36"/>
      <c r="B893" s="36"/>
      <c r="C893" s="77"/>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83"/>
      <c r="AH893" s="83"/>
      <c r="AI893" s="36"/>
      <c r="AK893" s="36"/>
    </row>
    <row r="894" spans="1:37" ht="14.25" customHeight="1">
      <c r="A894" s="36"/>
      <c r="B894" s="36"/>
      <c r="C894" s="77"/>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83"/>
      <c r="AH894" s="83"/>
      <c r="AI894" s="36"/>
      <c r="AK894" s="36"/>
    </row>
    <row r="895" spans="1:37" ht="14.25" customHeight="1">
      <c r="A895" s="36"/>
      <c r="B895" s="36"/>
      <c r="C895" s="77"/>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83"/>
      <c r="AH895" s="83"/>
      <c r="AI895" s="36"/>
      <c r="AK895" s="36"/>
    </row>
    <row r="896" spans="1:37" ht="14.25" customHeight="1">
      <c r="A896" s="36"/>
      <c r="B896" s="36"/>
      <c r="C896" s="77"/>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83"/>
      <c r="AH896" s="83"/>
      <c r="AI896" s="36"/>
      <c r="AK896" s="36"/>
    </row>
    <row r="897" spans="1:37" ht="14.25" customHeight="1">
      <c r="A897" s="36"/>
      <c r="B897" s="36"/>
      <c r="C897" s="77"/>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83"/>
      <c r="AH897" s="83"/>
      <c r="AI897" s="36"/>
      <c r="AK897" s="36"/>
    </row>
    <row r="898" spans="1:37" ht="14.25" customHeight="1">
      <c r="A898" s="36"/>
      <c r="B898" s="36"/>
      <c r="C898" s="77"/>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83"/>
      <c r="AH898" s="83"/>
      <c r="AI898" s="36"/>
      <c r="AK898" s="36"/>
    </row>
    <row r="899" spans="1:37" ht="14.25" customHeight="1">
      <c r="A899" s="36"/>
      <c r="B899" s="36"/>
      <c r="C899" s="77"/>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83"/>
      <c r="AH899" s="83"/>
      <c r="AI899" s="36"/>
      <c r="AK899" s="36"/>
    </row>
    <row r="900" spans="1:37" ht="14.25" customHeight="1">
      <c r="A900" s="36"/>
      <c r="B900" s="36"/>
      <c r="C900" s="77"/>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83"/>
      <c r="AH900" s="83"/>
      <c r="AI900" s="36"/>
      <c r="AK900" s="36"/>
    </row>
    <row r="901" spans="1:37" ht="14.25" customHeight="1">
      <c r="A901" s="36"/>
      <c r="B901" s="36"/>
      <c r="C901" s="77"/>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83"/>
      <c r="AH901" s="83"/>
      <c r="AI901" s="36"/>
      <c r="AK901" s="36"/>
    </row>
    <row r="902" spans="1:37" ht="14.25" customHeight="1">
      <c r="A902" s="36"/>
      <c r="B902" s="36"/>
      <c r="C902" s="77"/>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83"/>
      <c r="AH902" s="83"/>
      <c r="AI902" s="36"/>
      <c r="AK902" s="36"/>
    </row>
    <row r="903" spans="1:37" ht="14.25" customHeight="1">
      <c r="A903" s="36"/>
      <c r="B903" s="36"/>
      <c r="C903" s="77"/>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83"/>
      <c r="AH903" s="83"/>
      <c r="AI903" s="36"/>
      <c r="AK903" s="36"/>
    </row>
    <row r="904" spans="1:37" ht="14.25" customHeight="1">
      <c r="A904" s="36"/>
      <c r="B904" s="36"/>
      <c r="C904" s="77"/>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83"/>
      <c r="AH904" s="83"/>
      <c r="AI904" s="36"/>
      <c r="AK904" s="36"/>
    </row>
    <row r="905" spans="1:37" ht="14.25" customHeight="1">
      <c r="A905" s="36"/>
      <c r="B905" s="36"/>
      <c r="C905" s="77"/>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83"/>
      <c r="AH905" s="83"/>
      <c r="AI905" s="36"/>
      <c r="AK905" s="36"/>
    </row>
    <row r="906" spans="1:37" ht="14.25" customHeight="1">
      <c r="A906" s="36"/>
      <c r="B906" s="36"/>
      <c r="C906" s="77"/>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83"/>
      <c r="AH906" s="83"/>
      <c r="AI906" s="36"/>
      <c r="AK906" s="36"/>
    </row>
    <row r="907" spans="1:37" ht="14.25" customHeight="1">
      <c r="A907" s="36"/>
      <c r="B907" s="36"/>
      <c r="C907" s="77"/>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83"/>
      <c r="AH907" s="83"/>
      <c r="AI907" s="36"/>
      <c r="AK907" s="36"/>
    </row>
    <row r="908" spans="1:37" ht="14.25" customHeight="1">
      <c r="A908" s="36"/>
      <c r="B908" s="36"/>
      <c r="C908" s="77"/>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83"/>
      <c r="AH908" s="83"/>
      <c r="AI908" s="36"/>
      <c r="AK908" s="36"/>
    </row>
    <row r="909" spans="1:37" ht="14.25" customHeight="1">
      <c r="A909" s="36"/>
      <c r="B909" s="36"/>
      <c r="C909" s="77"/>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83"/>
      <c r="AH909" s="83"/>
      <c r="AI909" s="36"/>
      <c r="AK909" s="36"/>
    </row>
    <row r="910" spans="1:37" ht="14.25" customHeight="1">
      <c r="A910" s="36"/>
      <c r="B910" s="36"/>
      <c r="C910" s="77"/>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83"/>
      <c r="AH910" s="83"/>
      <c r="AI910" s="36"/>
      <c r="AK910" s="36"/>
    </row>
    <row r="911" spans="1:37" ht="14.25" customHeight="1">
      <c r="A911" s="36"/>
      <c r="B911" s="36"/>
      <c r="C911" s="77"/>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83"/>
      <c r="AH911" s="83"/>
      <c r="AI911" s="36"/>
      <c r="AK911" s="36"/>
    </row>
    <row r="912" spans="1:37" ht="14.25" customHeight="1">
      <c r="A912" s="36"/>
      <c r="B912" s="36"/>
      <c r="C912" s="77"/>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83"/>
      <c r="AH912" s="83"/>
      <c r="AI912" s="36"/>
      <c r="AK912" s="36"/>
    </row>
    <row r="913" spans="1:37" ht="14.25" customHeight="1">
      <c r="A913" s="36"/>
      <c r="B913" s="36"/>
      <c r="C913" s="77"/>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83"/>
      <c r="AH913" s="83"/>
      <c r="AI913" s="36"/>
      <c r="AK913" s="36"/>
    </row>
    <row r="914" spans="1:37" ht="14.25" customHeight="1">
      <c r="A914" s="36"/>
      <c r="B914" s="36"/>
      <c r="C914" s="77"/>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83"/>
      <c r="AH914" s="83"/>
      <c r="AI914" s="36"/>
      <c r="AK914" s="36"/>
    </row>
    <row r="915" spans="1:37" ht="14.25" customHeight="1">
      <c r="A915" s="36"/>
      <c r="B915" s="36"/>
      <c r="C915" s="77"/>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83"/>
      <c r="AH915" s="83"/>
      <c r="AI915" s="36"/>
      <c r="AK915" s="36"/>
    </row>
    <row r="916" spans="1:37" ht="14.25" customHeight="1">
      <c r="A916" s="36"/>
      <c r="B916" s="36"/>
      <c r="C916" s="77"/>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83"/>
      <c r="AH916" s="83"/>
      <c r="AI916" s="36"/>
      <c r="AK916" s="36"/>
    </row>
    <row r="917" spans="1:37" ht="14.25" customHeight="1">
      <c r="A917" s="36"/>
      <c r="B917" s="36"/>
      <c r="C917" s="77"/>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83"/>
      <c r="AH917" s="83"/>
      <c r="AI917" s="36"/>
      <c r="AK917" s="36"/>
    </row>
    <row r="918" spans="1:37" ht="14.25" customHeight="1">
      <c r="A918" s="36"/>
      <c r="B918" s="36"/>
      <c r="C918" s="77"/>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83"/>
      <c r="AH918" s="83"/>
      <c r="AI918" s="36"/>
      <c r="AK918" s="36"/>
    </row>
    <row r="919" spans="1:37" ht="14.25" customHeight="1">
      <c r="A919" s="36"/>
      <c r="B919" s="36"/>
      <c r="C919" s="77"/>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83"/>
      <c r="AH919" s="83"/>
      <c r="AI919" s="36"/>
      <c r="AK919" s="36"/>
    </row>
    <row r="920" spans="1:37" ht="14.25" customHeight="1">
      <c r="A920" s="36"/>
      <c r="B920" s="36"/>
      <c r="C920" s="77"/>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83"/>
      <c r="AH920" s="83"/>
      <c r="AI920" s="36"/>
      <c r="AK920" s="36"/>
    </row>
    <row r="921" spans="1:37" ht="14.25" customHeight="1">
      <c r="A921" s="36"/>
      <c r="B921" s="36"/>
      <c r="C921" s="77"/>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83"/>
      <c r="AH921" s="83"/>
      <c r="AI921" s="36"/>
      <c r="AK921" s="36"/>
    </row>
    <row r="922" spans="1:37" ht="14.25" customHeight="1">
      <c r="A922" s="36"/>
      <c r="B922" s="36"/>
      <c r="C922" s="77"/>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83"/>
      <c r="AH922" s="83"/>
      <c r="AI922" s="36"/>
      <c r="AK922" s="36"/>
    </row>
    <row r="923" spans="1:37" ht="14.25" customHeight="1">
      <c r="A923" s="36"/>
      <c r="B923" s="36"/>
      <c r="C923" s="77"/>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83"/>
      <c r="AH923" s="83"/>
      <c r="AI923" s="36"/>
      <c r="AK923" s="36"/>
    </row>
    <row r="924" spans="1:37" ht="14.25" customHeight="1">
      <c r="A924" s="36"/>
      <c r="B924" s="36"/>
      <c r="C924" s="77"/>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83"/>
      <c r="AH924" s="83"/>
      <c r="AI924" s="36"/>
      <c r="AK924" s="36"/>
    </row>
    <row r="925" spans="1:37" ht="14.25" customHeight="1">
      <c r="A925" s="36"/>
      <c r="B925" s="36"/>
      <c r="C925" s="77"/>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83"/>
      <c r="AH925" s="83"/>
      <c r="AI925" s="36"/>
      <c r="AK925" s="36"/>
    </row>
    <row r="926" spans="1:37" ht="14.25" customHeight="1">
      <c r="A926" s="36"/>
      <c r="B926" s="36"/>
      <c r="C926" s="77"/>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83"/>
      <c r="AH926" s="83"/>
      <c r="AI926" s="36"/>
      <c r="AK926" s="36"/>
    </row>
    <row r="927" spans="1:37" ht="14.25" customHeight="1">
      <c r="A927" s="36"/>
      <c r="B927" s="36"/>
      <c r="C927" s="77"/>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83"/>
      <c r="AH927" s="83"/>
      <c r="AI927" s="36"/>
      <c r="AK927" s="36"/>
    </row>
    <row r="928" spans="1:37" ht="14.25" customHeight="1">
      <c r="A928" s="36"/>
      <c r="B928" s="36"/>
      <c r="C928" s="77"/>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83"/>
      <c r="AH928" s="83"/>
      <c r="AI928" s="36"/>
      <c r="AK928" s="36"/>
    </row>
    <row r="929" spans="1:37" ht="14.25" customHeight="1">
      <c r="A929" s="36"/>
      <c r="B929" s="36"/>
      <c r="C929" s="77"/>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83"/>
      <c r="AH929" s="83"/>
      <c r="AI929" s="36"/>
      <c r="AK929" s="36"/>
    </row>
    <row r="930" spans="1:37" ht="14.25" customHeight="1">
      <c r="A930" s="36"/>
      <c r="B930" s="36"/>
      <c r="C930" s="77"/>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83"/>
      <c r="AH930" s="83"/>
      <c r="AI930" s="36"/>
      <c r="AK930" s="36"/>
    </row>
    <row r="931" spans="1:37" ht="14.25" customHeight="1">
      <c r="A931" s="36"/>
      <c r="B931" s="36"/>
      <c r="C931" s="77"/>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83"/>
      <c r="AH931" s="83"/>
      <c r="AI931" s="36"/>
      <c r="AK931" s="36"/>
    </row>
    <row r="932" spans="1:37" ht="14.25" customHeight="1">
      <c r="A932" s="36"/>
      <c r="B932" s="36"/>
      <c r="C932" s="77"/>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83"/>
      <c r="AH932" s="83"/>
      <c r="AI932" s="36"/>
      <c r="AK932" s="36"/>
    </row>
    <row r="933" spans="1:37" ht="14.25" customHeight="1">
      <c r="A933" s="36"/>
      <c r="B933" s="36"/>
      <c r="C933" s="77"/>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83"/>
      <c r="AH933" s="83"/>
      <c r="AI933" s="36"/>
      <c r="AK933" s="36"/>
    </row>
    <row r="934" spans="1:37" ht="14.25" customHeight="1">
      <c r="A934" s="36"/>
      <c r="B934" s="36"/>
      <c r="C934" s="77"/>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83"/>
      <c r="AH934" s="83"/>
      <c r="AI934" s="36"/>
      <c r="AK934" s="36"/>
    </row>
    <row r="935" spans="1:37" ht="14.25" customHeight="1">
      <c r="A935" s="36"/>
      <c r="B935" s="36"/>
      <c r="C935" s="77"/>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83"/>
      <c r="AH935" s="83"/>
      <c r="AI935" s="36"/>
      <c r="AK935" s="36"/>
    </row>
    <row r="936" spans="1:37" ht="14.25" customHeight="1">
      <c r="A936" s="36"/>
      <c r="B936" s="36"/>
      <c r="C936" s="77"/>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83"/>
      <c r="AH936" s="83"/>
      <c r="AI936" s="36"/>
      <c r="AK936" s="36"/>
    </row>
    <row r="937" spans="1:37" ht="14.25" customHeight="1">
      <c r="A937" s="36"/>
      <c r="B937" s="36"/>
      <c r="C937" s="77"/>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83"/>
      <c r="AH937" s="83"/>
      <c r="AI937" s="36"/>
      <c r="AK937" s="36"/>
    </row>
    <row r="938" spans="1:37" ht="14.25" customHeight="1">
      <c r="A938" s="36"/>
      <c r="B938" s="36"/>
      <c r="C938" s="77"/>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83"/>
      <c r="AH938" s="83"/>
      <c r="AI938" s="36"/>
      <c r="AK938" s="36"/>
    </row>
    <row r="939" spans="1:37" ht="14.25" customHeight="1">
      <c r="A939" s="36"/>
      <c r="B939" s="36"/>
      <c r="C939" s="77"/>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83"/>
      <c r="AH939" s="83"/>
      <c r="AI939" s="36"/>
      <c r="AK939" s="36"/>
    </row>
    <row r="940" spans="1:37" ht="14.25" customHeight="1">
      <c r="A940" s="36"/>
      <c r="B940" s="36"/>
      <c r="C940" s="77"/>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83"/>
      <c r="AH940" s="83"/>
      <c r="AI940" s="36"/>
      <c r="AK940" s="36"/>
    </row>
    <row r="941" spans="1:37" ht="14.25" customHeight="1">
      <c r="A941" s="36"/>
      <c r="B941" s="36"/>
      <c r="C941" s="77"/>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83"/>
      <c r="AH941" s="83"/>
      <c r="AI941" s="36"/>
      <c r="AK941" s="36"/>
    </row>
    <row r="942" spans="1:37" ht="14.25" customHeight="1">
      <c r="A942" s="36"/>
      <c r="B942" s="36"/>
      <c r="C942" s="77"/>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83"/>
      <c r="AH942" s="83"/>
      <c r="AI942" s="36"/>
      <c r="AK942" s="36"/>
    </row>
    <row r="943" spans="1:37" ht="14.25" customHeight="1">
      <c r="A943" s="36"/>
      <c r="B943" s="36"/>
      <c r="C943" s="77"/>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83"/>
      <c r="AH943" s="83"/>
      <c r="AI943" s="36"/>
      <c r="AK943" s="36"/>
    </row>
    <row r="944" spans="1:37" ht="14.25" customHeight="1">
      <c r="A944" s="36"/>
      <c r="B944" s="36"/>
      <c r="C944" s="77"/>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83"/>
      <c r="AH944" s="83"/>
      <c r="AI944" s="36"/>
      <c r="AK944" s="36"/>
    </row>
    <row r="945" spans="1:37" ht="14.25" customHeight="1">
      <c r="A945" s="36"/>
      <c r="B945" s="36"/>
      <c r="C945" s="77"/>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83"/>
      <c r="AH945" s="83"/>
      <c r="AI945" s="36"/>
      <c r="AK945" s="36"/>
    </row>
    <row r="946" spans="1:37" ht="14.25" customHeight="1">
      <c r="A946" s="36"/>
      <c r="B946" s="36"/>
      <c r="C946" s="77"/>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83"/>
      <c r="AH946" s="83"/>
      <c r="AI946" s="36"/>
      <c r="AK946" s="36"/>
    </row>
    <row r="947" spans="1:37" ht="14.25" customHeight="1">
      <c r="A947" s="36"/>
      <c r="B947" s="36"/>
      <c r="C947" s="77"/>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83"/>
      <c r="AH947" s="83"/>
      <c r="AI947" s="36"/>
      <c r="AK947" s="36"/>
    </row>
    <row r="948" spans="1:37" ht="14.25" customHeight="1">
      <c r="A948" s="36"/>
      <c r="B948" s="36"/>
      <c r="C948" s="77"/>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83"/>
      <c r="AH948" s="83"/>
      <c r="AI948" s="36"/>
      <c r="AK948" s="36"/>
    </row>
    <row r="949" spans="1:37" ht="14.25" customHeight="1">
      <c r="A949" s="36"/>
      <c r="B949" s="36"/>
      <c r="C949" s="77"/>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83"/>
      <c r="AH949" s="83"/>
      <c r="AI949" s="36"/>
      <c r="AK949" s="36"/>
    </row>
    <row r="950" spans="1:37" ht="14.25" customHeight="1">
      <c r="A950" s="36"/>
      <c r="B950" s="36"/>
      <c r="C950" s="77"/>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83"/>
      <c r="AH950" s="83"/>
      <c r="AI950" s="36"/>
      <c r="AK950" s="36"/>
    </row>
    <row r="951" spans="1:37" ht="14.25" customHeight="1">
      <c r="A951" s="36"/>
      <c r="B951" s="36"/>
      <c r="C951" s="77"/>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83"/>
      <c r="AH951" s="83"/>
      <c r="AI951" s="36"/>
      <c r="AK951" s="36"/>
    </row>
    <row r="952" spans="1:37" ht="14.25" customHeight="1">
      <c r="A952" s="36"/>
      <c r="B952" s="36"/>
      <c r="C952" s="77"/>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83"/>
      <c r="AH952" s="83"/>
      <c r="AI952" s="36"/>
      <c r="AK952" s="36"/>
    </row>
    <row r="953" spans="1:37" ht="14.25" customHeight="1">
      <c r="A953" s="36"/>
      <c r="B953" s="36"/>
      <c r="C953" s="77"/>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83"/>
      <c r="AH953" s="83"/>
      <c r="AI953" s="36"/>
      <c r="AK953" s="36"/>
    </row>
    <row r="954" spans="1:37" ht="14.25" customHeight="1">
      <c r="A954" s="36"/>
      <c r="B954" s="36"/>
      <c r="C954" s="77"/>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83"/>
      <c r="AH954" s="83"/>
      <c r="AI954" s="36"/>
      <c r="AK954" s="36"/>
    </row>
    <row r="955" spans="1:37" ht="14.25" customHeight="1">
      <c r="A955" s="36"/>
      <c r="B955" s="36"/>
      <c r="C955" s="77"/>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83"/>
      <c r="AH955" s="83"/>
      <c r="AI955" s="36"/>
      <c r="AK955" s="36"/>
    </row>
    <row r="956" spans="1:37" ht="14.25" customHeight="1">
      <c r="A956" s="36"/>
      <c r="B956" s="36"/>
      <c r="C956" s="77"/>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83"/>
      <c r="AH956" s="83"/>
      <c r="AI956" s="36"/>
      <c r="AK956" s="36"/>
    </row>
    <row r="957" spans="1:37" ht="14.25" customHeight="1">
      <c r="A957" s="36"/>
      <c r="B957" s="36"/>
      <c r="C957" s="77"/>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83"/>
      <c r="AH957" s="83"/>
      <c r="AI957" s="36"/>
      <c r="AK957" s="36"/>
    </row>
    <row r="958" spans="1:37" ht="14.25" customHeight="1">
      <c r="A958" s="36"/>
      <c r="B958" s="36"/>
      <c r="C958" s="77"/>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83"/>
      <c r="AH958" s="83"/>
      <c r="AI958" s="36"/>
      <c r="AK958" s="36"/>
    </row>
    <row r="959" spans="1:37" ht="14.25" customHeight="1">
      <c r="A959" s="36"/>
      <c r="B959" s="36"/>
      <c r="C959" s="77"/>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83"/>
      <c r="AH959" s="83"/>
      <c r="AI959" s="36"/>
      <c r="AK959" s="36"/>
    </row>
    <row r="960" spans="1:37" ht="14.25" customHeight="1">
      <c r="A960" s="36"/>
      <c r="B960" s="36"/>
      <c r="C960" s="77"/>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83"/>
      <c r="AH960" s="83"/>
      <c r="AI960" s="36"/>
      <c r="AK960" s="36"/>
    </row>
    <row r="961" spans="1:37" ht="14.25" customHeight="1">
      <c r="A961" s="36"/>
      <c r="B961" s="36"/>
      <c r="C961" s="77"/>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83"/>
      <c r="AH961" s="83"/>
      <c r="AI961" s="36"/>
      <c r="AK961" s="36"/>
    </row>
    <row r="962" spans="1:37" ht="14.25" customHeight="1">
      <c r="A962" s="36"/>
      <c r="B962" s="36"/>
      <c r="C962" s="77"/>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83"/>
      <c r="AH962" s="83"/>
      <c r="AI962" s="36"/>
      <c r="AK962" s="36"/>
    </row>
    <row r="963" spans="1:37" ht="14.25" customHeight="1">
      <c r="A963" s="36"/>
      <c r="B963" s="36"/>
      <c r="C963" s="77"/>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83"/>
      <c r="AH963" s="83"/>
      <c r="AI963" s="36"/>
      <c r="AK963" s="36"/>
    </row>
    <row r="964" spans="1:37" ht="14.25" customHeight="1">
      <c r="A964" s="36"/>
      <c r="B964" s="36"/>
      <c r="C964" s="77"/>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83"/>
      <c r="AH964" s="83"/>
      <c r="AI964" s="36"/>
      <c r="AK964" s="36"/>
    </row>
    <row r="965" spans="1:37" ht="14.25" customHeight="1">
      <c r="A965" s="36"/>
      <c r="B965" s="36"/>
      <c r="C965" s="77"/>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83"/>
      <c r="AH965" s="83"/>
      <c r="AI965" s="36"/>
      <c r="AK965" s="36"/>
    </row>
    <row r="966" spans="1:37" ht="14.25" customHeight="1">
      <c r="A966" s="36"/>
      <c r="B966" s="36"/>
      <c r="C966" s="77"/>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83"/>
      <c r="AH966" s="83"/>
      <c r="AI966" s="36"/>
      <c r="AK966" s="36"/>
    </row>
    <row r="967" spans="1:37" ht="14.25" customHeight="1">
      <c r="A967" s="36"/>
      <c r="B967" s="36"/>
      <c r="C967" s="77"/>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83"/>
      <c r="AH967" s="83"/>
      <c r="AI967" s="36"/>
      <c r="AK967" s="36"/>
    </row>
    <row r="968" spans="1:37" ht="14.25" customHeight="1">
      <c r="A968" s="36"/>
      <c r="B968" s="36"/>
      <c r="C968" s="77"/>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83"/>
      <c r="AH968" s="83"/>
      <c r="AI968" s="36"/>
      <c r="AK968" s="36"/>
    </row>
    <row r="969" spans="1:37" ht="14.25" customHeight="1">
      <c r="A969" s="36"/>
      <c r="B969" s="36"/>
      <c r="C969" s="77"/>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83"/>
      <c r="AH969" s="83"/>
      <c r="AI969" s="36"/>
      <c r="AK969" s="36"/>
    </row>
    <row r="970" spans="1:37" ht="14.25" customHeight="1">
      <c r="A970" s="36"/>
      <c r="B970" s="36"/>
      <c r="C970" s="77"/>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83"/>
      <c r="AH970" s="83"/>
      <c r="AI970" s="36"/>
      <c r="AK970" s="36"/>
    </row>
    <row r="971" spans="1:37" ht="14.25" customHeight="1">
      <c r="A971" s="36"/>
      <c r="B971" s="36"/>
      <c r="C971" s="77"/>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83"/>
      <c r="AH971" s="83"/>
      <c r="AI971" s="36"/>
      <c r="AK971" s="36"/>
    </row>
    <row r="972" spans="1:37" ht="14.25" customHeight="1">
      <c r="A972" s="36"/>
      <c r="B972" s="36"/>
      <c r="C972" s="77"/>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83"/>
      <c r="AH972" s="83"/>
      <c r="AI972" s="36"/>
      <c r="AK972" s="36"/>
    </row>
    <row r="973" spans="1:37" ht="14.25" customHeight="1">
      <c r="A973" s="36"/>
      <c r="B973" s="36"/>
      <c r="C973" s="77"/>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83"/>
      <c r="AH973" s="83"/>
      <c r="AI973" s="36"/>
      <c r="AK973" s="36"/>
    </row>
    <row r="974" spans="1:37" ht="14.25" customHeight="1">
      <c r="A974" s="36"/>
      <c r="B974" s="36"/>
      <c r="C974" s="77"/>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83"/>
      <c r="AH974" s="83"/>
      <c r="AI974" s="36"/>
      <c r="AK974" s="36"/>
    </row>
    <row r="975" spans="1:37" ht="14.25" customHeight="1">
      <c r="A975" s="36"/>
      <c r="B975" s="36"/>
      <c r="C975" s="77"/>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83"/>
      <c r="AH975" s="83"/>
      <c r="AI975" s="36"/>
      <c r="AK975" s="36"/>
    </row>
    <row r="976" spans="1:37" ht="14.25" customHeight="1">
      <c r="A976" s="36"/>
      <c r="B976" s="36"/>
      <c r="C976" s="77"/>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83"/>
      <c r="AH976" s="83"/>
      <c r="AI976" s="36"/>
      <c r="AK976" s="36"/>
    </row>
    <row r="977" spans="1:37" ht="14.25" customHeight="1">
      <c r="A977" s="36"/>
      <c r="B977" s="36"/>
      <c r="C977" s="77"/>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83"/>
      <c r="AH977" s="83"/>
      <c r="AI977" s="36"/>
      <c r="AK977" s="36"/>
    </row>
    <row r="978" spans="1:37" ht="14.25" customHeight="1">
      <c r="A978" s="36"/>
      <c r="B978" s="36"/>
      <c r="C978" s="77"/>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83"/>
      <c r="AH978" s="83"/>
      <c r="AI978" s="36"/>
      <c r="AK978" s="36"/>
    </row>
    <row r="979" spans="1:37" ht="14.25" customHeight="1">
      <c r="A979" s="36"/>
      <c r="B979" s="36"/>
      <c r="C979" s="77"/>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83"/>
      <c r="AH979" s="83"/>
      <c r="AI979" s="36"/>
      <c r="AK979" s="36"/>
    </row>
    <row r="980" spans="1:37" ht="14.25" customHeight="1">
      <c r="A980" s="36"/>
      <c r="B980" s="36"/>
      <c r="C980" s="77"/>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83"/>
      <c r="AH980" s="83"/>
      <c r="AI980" s="36"/>
      <c r="AK980" s="36"/>
    </row>
    <row r="981" spans="1:37" ht="14.25" customHeight="1">
      <c r="A981" s="36"/>
      <c r="B981" s="36"/>
      <c r="C981" s="77"/>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83"/>
      <c r="AH981" s="83"/>
      <c r="AI981" s="36"/>
      <c r="AK981" s="36"/>
    </row>
    <row r="982" spans="1:37" ht="14.25" customHeight="1">
      <c r="A982" s="36"/>
      <c r="B982" s="36"/>
      <c r="C982" s="77"/>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83"/>
      <c r="AH982" s="83"/>
      <c r="AI982" s="36"/>
      <c r="AK982" s="36"/>
    </row>
    <row r="983" spans="1:37" ht="14.25" customHeight="1">
      <c r="A983" s="36"/>
      <c r="B983" s="36"/>
      <c r="C983" s="77"/>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83"/>
      <c r="AH983" s="83"/>
      <c r="AI983" s="36"/>
      <c r="AK983" s="36"/>
    </row>
    <row r="984" spans="1:37" ht="14.25" customHeight="1">
      <c r="A984" s="36"/>
      <c r="B984" s="36"/>
      <c r="C984" s="77"/>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83"/>
      <c r="AH984" s="83"/>
      <c r="AI984" s="36"/>
      <c r="AK984" s="36"/>
    </row>
    <row r="985" spans="1:37" ht="14.25" customHeight="1">
      <c r="A985" s="36"/>
      <c r="B985" s="36"/>
      <c r="C985" s="77"/>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83"/>
      <c r="AH985" s="83"/>
      <c r="AI985" s="36"/>
      <c r="AK985" s="36"/>
    </row>
    <row r="986" spans="1:37" ht="14.25" customHeight="1">
      <c r="A986" s="36"/>
      <c r="B986" s="36"/>
      <c r="C986" s="77"/>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83"/>
      <c r="AH986" s="83"/>
      <c r="AI986" s="36"/>
      <c r="AK986" s="36"/>
    </row>
    <row r="987" spans="1:37" ht="14.25" customHeight="1">
      <c r="A987" s="36"/>
      <c r="B987" s="36"/>
      <c r="C987" s="77"/>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83"/>
      <c r="AH987" s="83"/>
      <c r="AI987" s="36"/>
      <c r="AK987" s="36"/>
    </row>
    <row r="988" spans="1:37" ht="14.25" customHeight="1">
      <c r="A988" s="36"/>
      <c r="B988" s="36"/>
      <c r="C988" s="77"/>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83"/>
      <c r="AH988" s="83"/>
      <c r="AI988" s="36"/>
      <c r="AK988" s="36"/>
    </row>
    <row r="989" spans="1:37" ht="14.25" customHeight="1">
      <c r="A989" s="36"/>
      <c r="B989" s="36"/>
      <c r="C989" s="77"/>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83"/>
      <c r="AH989" s="83"/>
      <c r="AI989" s="36"/>
      <c r="AK989" s="36"/>
    </row>
    <row r="990" spans="1:37" ht="14.25" customHeight="1">
      <c r="A990" s="36"/>
      <c r="B990" s="36"/>
      <c r="C990" s="77"/>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83"/>
      <c r="AH990" s="83"/>
      <c r="AI990" s="36"/>
      <c r="AK990" s="36"/>
    </row>
    <row r="991" spans="1:37" ht="14.25" customHeight="1">
      <c r="A991" s="36"/>
      <c r="B991" s="36"/>
      <c r="C991" s="77"/>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83"/>
      <c r="AH991" s="83"/>
      <c r="AI991" s="36"/>
      <c r="AK991" s="36"/>
    </row>
    <row r="992" spans="1:37" ht="14.25" customHeight="1">
      <c r="A992" s="36"/>
      <c r="B992" s="36"/>
      <c r="C992" s="77"/>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83"/>
      <c r="AH992" s="83"/>
      <c r="AI992" s="36"/>
      <c r="AK992" s="36"/>
    </row>
    <row r="993" spans="1:37" ht="14.25" customHeight="1">
      <c r="A993" s="36"/>
      <c r="B993" s="36"/>
      <c r="C993" s="77"/>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83"/>
      <c r="AH993" s="83"/>
      <c r="AI993" s="36"/>
      <c r="AK993" s="36"/>
    </row>
    <row r="994" spans="1:37" ht="14.25" customHeight="1">
      <c r="A994" s="36"/>
      <c r="B994" s="36"/>
      <c r="C994" s="77"/>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83"/>
      <c r="AH994" s="83"/>
      <c r="AI994" s="36"/>
      <c r="AK994" s="36"/>
    </row>
    <row r="995" spans="1:37" ht="14.25" customHeight="1">
      <c r="A995" s="36"/>
      <c r="B995" s="36"/>
      <c r="C995" s="77"/>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83"/>
      <c r="AH995" s="83"/>
      <c r="AI995" s="36"/>
      <c r="AK995" s="36"/>
    </row>
    <row r="996" spans="1:37" ht="14.25" customHeight="1">
      <c r="A996" s="36"/>
      <c r="B996" s="36"/>
      <c r="C996" s="77"/>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83"/>
      <c r="AH996" s="83"/>
      <c r="AI996" s="36"/>
      <c r="AK996" s="36"/>
    </row>
    <row r="997" spans="1:37" ht="14.25" customHeight="1">
      <c r="A997" s="36"/>
      <c r="B997" s="36"/>
      <c r="C997" s="77"/>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83"/>
      <c r="AH997" s="83"/>
      <c r="AI997" s="36"/>
      <c r="AK997" s="36"/>
    </row>
    <row r="998" spans="1:37" ht="14.25" customHeight="1">
      <c r="A998" s="36"/>
      <c r="B998" s="36"/>
      <c r="C998" s="77"/>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83"/>
      <c r="AH998" s="83"/>
      <c r="AI998" s="36"/>
      <c r="AK998" s="36"/>
    </row>
    <row r="999" spans="1:37" ht="14.25" customHeight="1">
      <c r="A999" s="36"/>
      <c r="B999" s="36"/>
      <c r="C999" s="77"/>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83"/>
      <c r="AH999" s="83"/>
      <c r="AI999" s="36"/>
      <c r="AK999" s="36"/>
    </row>
    <row r="1000" spans="1:37" ht="14.25" customHeight="1">
      <c r="A1000" s="36"/>
      <c r="B1000" s="36"/>
      <c r="C1000" s="77"/>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83"/>
      <c r="AH1000" s="83"/>
      <c r="AI1000" s="36"/>
      <c r="AK1000" s="36"/>
    </row>
  </sheetData>
  <autoFilter ref="A1:AK133" xr:uid="{00000000-0009-0000-0000-000000000000}"/>
  <pageMargins left="0.7" right="0.7" top="0.75" bottom="0.75" header="0" footer="0"/>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1"/>
  <sheetViews>
    <sheetView workbookViewId="0">
      <pane ySplit="4" topLeftCell="A71" activePane="bottomLeft" state="frozen"/>
      <selection pane="bottomLeft" activeCell="B87" sqref="B87"/>
    </sheetView>
  </sheetViews>
  <sheetFormatPr defaultColWidth="14.42578125" defaultRowHeight="15" customHeight="1"/>
  <cols>
    <col min="1" max="1" width="6.28515625" customWidth="1"/>
    <col min="2" max="2" width="36.5703125" customWidth="1"/>
    <col min="3" max="3" width="11.28515625" customWidth="1"/>
    <col min="4" max="4" width="11.5703125" customWidth="1"/>
    <col min="5" max="5" width="7.5703125" customWidth="1"/>
    <col min="6" max="6" width="8.42578125" customWidth="1"/>
    <col min="7" max="7" width="12.42578125" customWidth="1"/>
    <col min="8" max="8" width="11.140625" customWidth="1"/>
    <col min="9" max="9" width="10.7109375" customWidth="1"/>
    <col min="10" max="11" width="8.7109375" customWidth="1"/>
    <col min="12" max="12" width="11.28515625" customWidth="1"/>
    <col min="13" max="26" width="8.7109375" customWidth="1"/>
  </cols>
  <sheetData>
    <row r="1" spans="1:12" ht="27" customHeight="1">
      <c r="A1" s="108" t="s">
        <v>923</v>
      </c>
      <c r="B1" s="109"/>
      <c r="C1" s="109"/>
      <c r="D1" s="109"/>
      <c r="E1" s="109"/>
      <c r="F1" s="109"/>
      <c r="G1" s="109"/>
      <c r="L1" s="11"/>
    </row>
    <row r="2" spans="1:12" ht="12" customHeight="1">
      <c r="A2" s="1"/>
      <c r="B2" s="1"/>
      <c r="C2" s="1"/>
      <c r="D2" s="1"/>
      <c r="E2" s="1"/>
      <c r="F2" s="1"/>
      <c r="G2" s="1"/>
      <c r="L2" s="11"/>
    </row>
    <row r="3" spans="1:12">
      <c r="A3" s="112" t="s">
        <v>0</v>
      </c>
      <c r="B3" s="112" t="s">
        <v>924</v>
      </c>
      <c r="C3" s="110" t="s">
        <v>925</v>
      </c>
      <c r="D3" s="111"/>
      <c r="E3" s="111"/>
      <c r="F3" s="111"/>
      <c r="G3" s="111"/>
      <c r="H3" s="110" t="s">
        <v>926</v>
      </c>
      <c r="I3" s="111"/>
      <c r="J3" s="111"/>
      <c r="K3" s="111"/>
      <c r="L3" s="111"/>
    </row>
    <row r="4" spans="1:12" ht="27" customHeight="1">
      <c r="A4" s="113"/>
      <c r="B4" s="113"/>
      <c r="C4" s="2" t="s">
        <v>927</v>
      </c>
      <c r="D4" s="3" t="s">
        <v>4</v>
      </c>
      <c r="E4" s="3" t="s">
        <v>5</v>
      </c>
      <c r="F4" s="3" t="s">
        <v>6</v>
      </c>
      <c r="G4" s="3" t="s">
        <v>928</v>
      </c>
      <c r="H4" s="3" t="s">
        <v>927</v>
      </c>
      <c r="I4" s="3" t="s">
        <v>4</v>
      </c>
      <c r="J4" s="3" t="s">
        <v>5</v>
      </c>
      <c r="K4" s="3" t="s">
        <v>6</v>
      </c>
      <c r="L4" s="3" t="s">
        <v>928</v>
      </c>
    </row>
    <row r="5" spans="1:12" ht="27.75" customHeight="1">
      <c r="A5" s="4">
        <v>1</v>
      </c>
      <c r="B5" s="5" t="s">
        <v>39</v>
      </c>
      <c r="C5" s="4">
        <f>COUNTIF(DATA_SURAT_PELANTIKAN!$D$2:$D$56,B5)</f>
        <v>0</v>
      </c>
      <c r="D5" s="4">
        <f>COUNTIF(DATA_SURAT_PELANTIKAN!$E$2:$E$56,B5)</f>
        <v>0</v>
      </c>
      <c r="E5" s="4">
        <f>COUNTIF(DATA_SURAT_PELANTIKAN!$F$2:$F$56,B5)</f>
        <v>2</v>
      </c>
      <c r="F5" s="4">
        <f>COUNTIF(DATA_SURAT_PELANTIKAN!$G$2:$G$56,B5)</f>
        <v>0</v>
      </c>
      <c r="G5" s="6">
        <f t="shared" ref="G5:G93" si="0">SUM(C5:F5)</f>
        <v>2</v>
      </c>
      <c r="H5" s="4">
        <f>COUNTIF(DATA_SURAT_PELANTIKAN!$D$57:$D$150,B5)</f>
        <v>0</v>
      </c>
      <c r="I5" s="4">
        <f>COUNTIF(DATA_SURAT_PELANTIKAN!$E$57:$E$150,B5)</f>
        <v>0</v>
      </c>
      <c r="J5" s="4">
        <f>COUNTIF(DATA_SURAT_PELANTIKAN!$F$57:$F$150,B5)</f>
        <v>3</v>
      </c>
      <c r="K5" s="4">
        <f>COUNTIF(DATA_SURAT_PELANTIKAN!$G$57:$G$150,B5)</f>
        <v>0</v>
      </c>
      <c r="L5" s="6">
        <f>SUM(H5:K5)</f>
        <v>3</v>
      </c>
    </row>
    <row r="6" spans="1:12" ht="27.75" customHeight="1">
      <c r="A6" s="4">
        <v>2</v>
      </c>
      <c r="B6" s="7" t="s">
        <v>109</v>
      </c>
      <c r="C6" s="4">
        <f>COUNTIF(DATA_SURAT_PELANTIKAN!$D$2:$D$56,B6)</f>
        <v>0</v>
      </c>
      <c r="D6" s="4">
        <f>COUNTIF(DATA_SURAT_PELANTIKAN!$E$2:$E$56,B6)</f>
        <v>0</v>
      </c>
      <c r="E6" s="4">
        <f>COUNTIF(DATA_SURAT_PELANTIKAN!$F$2:$F$56,B6)</f>
        <v>8</v>
      </c>
      <c r="F6" s="4">
        <f>COUNTIF(DATA_SURAT_PELANTIKAN!$G$2:$G$56,B6)</f>
        <v>2</v>
      </c>
      <c r="G6" s="6">
        <f t="shared" si="0"/>
        <v>10</v>
      </c>
      <c r="H6" s="4">
        <f>COUNTIF(DATA_SURAT_PELANTIKAN!$D$57:$D$150,B6)</f>
        <v>0</v>
      </c>
      <c r="I6" s="4">
        <f>COUNTIF(DATA_SURAT_PELANTIKAN!$E$57:$E$150,B6)</f>
        <v>0</v>
      </c>
      <c r="J6" s="4">
        <f>COUNTIF(DATA_SURAT_PELANTIKAN!$F$57:$F$150,B6)</f>
        <v>0</v>
      </c>
      <c r="K6" s="4">
        <f>COUNTIF(DATA_SURAT_PELANTIKAN!$G$57:$G$150,B6)</f>
        <v>0</v>
      </c>
      <c r="L6" s="6">
        <f t="shared" ref="L6:L93" si="1">SUM(H6:K6)</f>
        <v>0</v>
      </c>
    </row>
    <row r="7" spans="1:12" ht="27.75" customHeight="1">
      <c r="A7" s="4">
        <v>3</v>
      </c>
      <c r="B7" s="7" t="s">
        <v>929</v>
      </c>
      <c r="C7" s="4">
        <f>COUNTIF(DATA_SURAT_PELANTIKAN!$D$2:$D$56,B7)</f>
        <v>3</v>
      </c>
      <c r="D7" s="4">
        <f>COUNTIF(DATA_SURAT_PELANTIKAN!$E$2:$E$56,B7)</f>
        <v>0</v>
      </c>
      <c r="E7" s="4">
        <f>COUNTIF(DATA_SURAT_PELANTIKAN!$F$2:$F$56,B7)</f>
        <v>1</v>
      </c>
      <c r="F7" s="4">
        <f>COUNTIF(DATA_SURAT_PELANTIKAN!$G$2:$G$56,B7)</f>
        <v>0</v>
      </c>
      <c r="G7" s="6">
        <f t="shared" si="0"/>
        <v>4</v>
      </c>
      <c r="H7" s="4">
        <f>COUNTIF(DATA_SURAT_PELANTIKAN!$D$57:$D$150,B7)</f>
        <v>0</v>
      </c>
      <c r="I7" s="4">
        <f>COUNTIF(DATA_SURAT_PELANTIKAN!$E$57:$E$150,B7)</f>
        <v>0</v>
      </c>
      <c r="J7" s="4">
        <f>COUNTIF(DATA_SURAT_PELANTIKAN!$F$57:$F$150,B7)</f>
        <v>3</v>
      </c>
      <c r="K7" s="4">
        <f>COUNTIF(DATA_SURAT_PELANTIKAN!$G$57:$G$150,B7)</f>
        <v>0</v>
      </c>
      <c r="L7" s="6">
        <f t="shared" si="1"/>
        <v>3</v>
      </c>
    </row>
    <row r="8" spans="1:12" ht="27.75" customHeight="1">
      <c r="A8" s="4">
        <v>4</v>
      </c>
      <c r="B8" s="7" t="s">
        <v>108</v>
      </c>
      <c r="C8" s="4">
        <f>COUNTIF(DATA_SURAT_PELANTIKAN!$D$2:$D$56,B8)</f>
        <v>0</v>
      </c>
      <c r="D8" s="4">
        <f>COUNTIF(DATA_SURAT_PELANTIKAN!$E$2:$E$56,B8)</f>
        <v>0</v>
      </c>
      <c r="E8" s="4">
        <f>COUNTIF(DATA_SURAT_PELANTIKAN!$F$2:$F$56,B8)</f>
        <v>4</v>
      </c>
      <c r="F8" s="4">
        <f>COUNTIF(DATA_SURAT_PELANTIKAN!$G$2:$G$56,B8)</f>
        <v>1</v>
      </c>
      <c r="G8" s="6">
        <f t="shared" si="0"/>
        <v>5</v>
      </c>
      <c r="H8" s="4">
        <f>COUNTIF(DATA_SURAT_PELANTIKAN!$D$57:$D$150,B8)</f>
        <v>0</v>
      </c>
      <c r="I8" s="4">
        <f>COUNTIF(DATA_SURAT_PELANTIKAN!$E$57:$E$150,B8)</f>
        <v>0</v>
      </c>
      <c r="J8" s="4">
        <f>COUNTIF(DATA_SURAT_PELANTIKAN!$F$57:$F$150,B8)</f>
        <v>5</v>
      </c>
      <c r="K8" s="4">
        <f>COUNTIF(DATA_SURAT_PELANTIKAN!$G$57:$G$150,B8)</f>
        <v>1</v>
      </c>
      <c r="L8" s="6">
        <f t="shared" si="1"/>
        <v>6</v>
      </c>
    </row>
    <row r="9" spans="1:12" ht="27.75" customHeight="1">
      <c r="A9" s="4">
        <v>5</v>
      </c>
      <c r="B9" s="8" t="s">
        <v>930</v>
      </c>
      <c r="C9" s="4">
        <f>COUNTIF(DATA_SURAT_PELANTIKAN!$D$2:$D$56,B9)</f>
        <v>0</v>
      </c>
      <c r="D9" s="4">
        <f>COUNTIF(DATA_SURAT_PELANTIKAN!$E$2:$E$56,B9)</f>
        <v>0</v>
      </c>
      <c r="E9" s="4">
        <f>COUNTIF(DATA_SURAT_PELANTIKAN!$F$2:$F$56,B9)</f>
        <v>0</v>
      </c>
      <c r="F9" s="4">
        <f>COUNTIF(DATA_SURAT_PELANTIKAN!$G$2:$G$56,B9)</f>
        <v>0</v>
      </c>
      <c r="G9" s="6">
        <f t="shared" si="0"/>
        <v>0</v>
      </c>
      <c r="H9" s="4">
        <f>COUNTIF(DATA_SURAT_PELANTIKAN!$D$57:$D$150,B9)</f>
        <v>0</v>
      </c>
      <c r="I9" s="4">
        <f>COUNTIF(DATA_SURAT_PELANTIKAN!$E$57:$E$150,B9)</f>
        <v>0</v>
      </c>
      <c r="J9" s="4">
        <f>COUNTIF(DATA_SURAT_PELANTIKAN!$F$57:$F$150,B9)</f>
        <v>0</v>
      </c>
      <c r="K9" s="4">
        <f>COUNTIF(DATA_SURAT_PELANTIKAN!$G$57:$G$150,B9)</f>
        <v>0</v>
      </c>
      <c r="L9" s="6">
        <f t="shared" si="1"/>
        <v>0</v>
      </c>
    </row>
    <row r="10" spans="1:12" ht="27.75" customHeight="1">
      <c r="A10" s="4">
        <v>6</v>
      </c>
      <c r="B10" s="7" t="s">
        <v>60</v>
      </c>
      <c r="C10" s="4">
        <f>COUNTIF(DATA_SURAT_PELANTIKAN!$D$2:$D$56,B10)</f>
        <v>2</v>
      </c>
      <c r="D10" s="4">
        <f>COUNTIF(DATA_SURAT_PELANTIKAN!$E$2:$E$56,B10)</f>
        <v>0</v>
      </c>
      <c r="E10" s="4">
        <f>COUNTIF(DATA_SURAT_PELANTIKAN!$F$2:$F$56,B10)</f>
        <v>5</v>
      </c>
      <c r="F10" s="4">
        <f>COUNTIF(DATA_SURAT_PELANTIKAN!$G$2:$G$56,B10)</f>
        <v>2</v>
      </c>
      <c r="G10" s="6">
        <f t="shared" si="0"/>
        <v>9</v>
      </c>
      <c r="H10" s="4">
        <f>COUNTIF(DATA_SURAT_PELANTIKAN!$D$57:$D$150,B10)</f>
        <v>0</v>
      </c>
      <c r="I10" s="4">
        <f>COUNTIF(DATA_SURAT_PELANTIKAN!$E$57:$E$150,B10)</f>
        <v>0</v>
      </c>
      <c r="J10" s="4">
        <f>COUNTIF(DATA_SURAT_PELANTIKAN!$F$57:$F$150,B10)</f>
        <v>5</v>
      </c>
      <c r="K10" s="4">
        <f>COUNTIF(DATA_SURAT_PELANTIKAN!$G$57:$G$150,B10)</f>
        <v>1</v>
      </c>
      <c r="L10" s="6">
        <f t="shared" si="1"/>
        <v>6</v>
      </c>
    </row>
    <row r="11" spans="1:12" ht="27.75" customHeight="1">
      <c r="A11" s="4">
        <v>7</v>
      </c>
      <c r="B11" s="7" t="s">
        <v>73</v>
      </c>
      <c r="C11" s="4">
        <f>COUNTIF(DATA_SURAT_PELANTIKAN!$D$2:$D$56,B11)</f>
        <v>4</v>
      </c>
      <c r="D11" s="4">
        <f>COUNTIF(DATA_SURAT_PELANTIKAN!$E$2:$E$56,B11)</f>
        <v>0</v>
      </c>
      <c r="E11" s="4">
        <f>COUNTIF(DATA_SURAT_PELANTIKAN!$F$2:$F$56,B11)</f>
        <v>0</v>
      </c>
      <c r="F11" s="4">
        <f>COUNTIF(DATA_SURAT_PELANTIKAN!$G$2:$G$56,B11)</f>
        <v>0</v>
      </c>
      <c r="G11" s="6">
        <f t="shared" si="0"/>
        <v>4</v>
      </c>
      <c r="H11" s="4">
        <f>COUNTIF(DATA_SURAT_PELANTIKAN!$D$57:$D$150,B11)</f>
        <v>5</v>
      </c>
      <c r="I11" s="4">
        <f>COUNTIF(DATA_SURAT_PELANTIKAN!$E$57:$E$150,B11)</f>
        <v>0</v>
      </c>
      <c r="J11" s="4">
        <f>COUNTIF(DATA_SURAT_PELANTIKAN!$F$57:$F$150,B11)</f>
        <v>5</v>
      </c>
      <c r="K11" s="4">
        <f>COUNTIF(DATA_SURAT_PELANTIKAN!$G$57:$G$150,B11)</f>
        <v>1</v>
      </c>
      <c r="L11" s="6">
        <f t="shared" si="1"/>
        <v>11</v>
      </c>
    </row>
    <row r="12" spans="1:12" ht="27.75" customHeight="1">
      <c r="A12" s="4">
        <v>8</v>
      </c>
      <c r="B12" s="7" t="s">
        <v>61</v>
      </c>
      <c r="C12" s="4">
        <f>COUNTIF(DATA_SURAT_PELANTIKAN!$D$2:$D$56,B12)</f>
        <v>2</v>
      </c>
      <c r="D12" s="4">
        <f>COUNTIF(DATA_SURAT_PELANTIKAN!$E$2:$E$56,B12)</f>
        <v>0</v>
      </c>
      <c r="E12" s="4">
        <f>COUNTIF(DATA_SURAT_PELANTIKAN!$F$2:$F$56,B12)</f>
        <v>2</v>
      </c>
      <c r="F12" s="4">
        <f>COUNTIF(DATA_SURAT_PELANTIKAN!$G$2:$G$56,B12)</f>
        <v>2</v>
      </c>
      <c r="G12" s="6">
        <f t="shared" si="0"/>
        <v>6</v>
      </c>
      <c r="H12" s="4">
        <f>COUNTIF(DATA_SURAT_PELANTIKAN!$D$57:$D$150,B12)</f>
        <v>2</v>
      </c>
      <c r="I12" s="4">
        <f>COUNTIF(DATA_SURAT_PELANTIKAN!$E$57:$E$150,B12)</f>
        <v>0</v>
      </c>
      <c r="J12" s="4">
        <f>COUNTIF(DATA_SURAT_PELANTIKAN!$F$57:$F$150,B12)</f>
        <v>4</v>
      </c>
      <c r="K12" s="4">
        <f>COUNTIF(DATA_SURAT_PELANTIKAN!$G$57:$G$150,B12)</f>
        <v>0</v>
      </c>
      <c r="L12" s="6">
        <f t="shared" si="1"/>
        <v>6</v>
      </c>
    </row>
    <row r="13" spans="1:12" ht="27.75" customHeight="1">
      <c r="A13" s="4">
        <v>9</v>
      </c>
      <c r="B13" s="7" t="s">
        <v>89</v>
      </c>
      <c r="C13" s="4">
        <f>COUNTIF(DATA_SURAT_PELANTIKAN!$D$2:$D$56,B13)</f>
        <v>0</v>
      </c>
      <c r="D13" s="4">
        <f>COUNTIF(DATA_SURAT_PELANTIKAN!$E$2:$E$56,B13)</f>
        <v>0</v>
      </c>
      <c r="E13" s="4">
        <f>COUNTIF(DATA_SURAT_PELANTIKAN!$F$2:$F$56,B13)</f>
        <v>3</v>
      </c>
      <c r="F13" s="4">
        <f>COUNTIF(DATA_SURAT_PELANTIKAN!$G$2:$G$56,B13)</f>
        <v>1</v>
      </c>
      <c r="G13" s="6">
        <f t="shared" si="0"/>
        <v>4</v>
      </c>
      <c r="H13" s="4">
        <f>COUNTIF(DATA_SURAT_PELANTIKAN!$D$57:$D$150,B13)</f>
        <v>0</v>
      </c>
      <c r="I13" s="4">
        <f>COUNTIF(DATA_SURAT_PELANTIKAN!$E$57:$E$150,B13)</f>
        <v>0</v>
      </c>
      <c r="J13" s="4">
        <f>COUNTIF(DATA_SURAT_PELANTIKAN!$F$57:$F$150,B13)</f>
        <v>2</v>
      </c>
      <c r="K13" s="4">
        <f>COUNTIF(DATA_SURAT_PELANTIKAN!$G$57:$G$150,B13)</f>
        <v>4</v>
      </c>
      <c r="L13" s="6">
        <f t="shared" si="1"/>
        <v>6</v>
      </c>
    </row>
    <row r="14" spans="1:12" ht="27.75" customHeight="1">
      <c r="A14" s="4">
        <v>10</v>
      </c>
      <c r="B14" s="7" t="s">
        <v>143</v>
      </c>
      <c r="C14" s="4">
        <f>COUNTIF(DATA_SURAT_PELANTIKAN!$D$2:$D$56,B14)</f>
        <v>1</v>
      </c>
      <c r="D14" s="4">
        <f>COUNTIF(DATA_SURAT_PELANTIKAN!$E$2:$E$56,B14)</f>
        <v>0</v>
      </c>
      <c r="E14" s="4">
        <f>COUNTIF(DATA_SURAT_PELANTIKAN!$F$2:$F$56,B14)</f>
        <v>2</v>
      </c>
      <c r="F14" s="4">
        <f>COUNTIF(DATA_SURAT_PELANTIKAN!$G$2:$G$56,B14)</f>
        <v>1</v>
      </c>
      <c r="G14" s="6">
        <f t="shared" si="0"/>
        <v>4</v>
      </c>
      <c r="H14" s="4">
        <f>COUNTIF(DATA_SURAT_PELANTIKAN!$D$57:$D$150,B14)</f>
        <v>1</v>
      </c>
      <c r="I14" s="4">
        <f>COUNTIF(DATA_SURAT_PELANTIKAN!$E$57:$E$150,B14)</f>
        <v>0</v>
      </c>
      <c r="J14" s="4">
        <f>COUNTIF(DATA_SURAT_PELANTIKAN!$F$57:$F$150,B14)</f>
        <v>3</v>
      </c>
      <c r="K14" s="4">
        <f>COUNTIF(DATA_SURAT_PELANTIKAN!$G$57:$G$150,B14)</f>
        <v>0</v>
      </c>
      <c r="L14" s="6">
        <f t="shared" si="1"/>
        <v>4</v>
      </c>
    </row>
    <row r="15" spans="1:12" ht="27.75" customHeight="1">
      <c r="A15" s="4">
        <v>11</v>
      </c>
      <c r="B15" s="7" t="s">
        <v>931</v>
      </c>
      <c r="C15" s="4">
        <f>COUNTIF(DATA_SURAT_PELANTIKAN!$D$2:$D$56,B15)</f>
        <v>0</v>
      </c>
      <c r="D15" s="4">
        <f>COUNTIF(DATA_SURAT_PELANTIKAN!$E$2:$E$56,B15)</f>
        <v>0</v>
      </c>
      <c r="E15" s="4">
        <f>COUNTIF(DATA_SURAT_PELANTIKAN!$F$2:$F$56,B15)</f>
        <v>1</v>
      </c>
      <c r="F15" s="4">
        <f>COUNTIF(DATA_SURAT_PELANTIKAN!$G$2:$G$56,B15)</f>
        <v>1</v>
      </c>
      <c r="G15" s="6">
        <f t="shared" si="0"/>
        <v>2</v>
      </c>
      <c r="H15" s="4">
        <f>COUNTIF(DATA_SURAT_PELANTIKAN!$D$57:$D$150,B15)</f>
        <v>0</v>
      </c>
      <c r="I15" s="4">
        <f>COUNTIF(DATA_SURAT_PELANTIKAN!$E$57:$E$150,B15)</f>
        <v>0</v>
      </c>
      <c r="J15" s="4">
        <f>COUNTIF(DATA_SURAT_PELANTIKAN!$F$57:$F$150,B15)</f>
        <v>1</v>
      </c>
      <c r="K15" s="4">
        <f>COUNTIF(DATA_SURAT_PELANTIKAN!$G$57:$G$150,B15)</f>
        <v>0</v>
      </c>
      <c r="L15" s="6">
        <f t="shared" si="1"/>
        <v>1</v>
      </c>
    </row>
    <row r="16" spans="1:12" ht="27.75" customHeight="1">
      <c r="A16" s="4">
        <v>12</v>
      </c>
      <c r="B16" s="7" t="s">
        <v>153</v>
      </c>
      <c r="C16" s="4">
        <f>COUNTIF(DATA_SURAT_PELANTIKAN!$D$2:$D$56,B16)</f>
        <v>0</v>
      </c>
      <c r="D16" s="4">
        <f>COUNTIF(DATA_SURAT_PELANTIKAN!$E$2:$E$56,B16)</f>
        <v>0</v>
      </c>
      <c r="E16" s="4">
        <f>COUNTIF(DATA_SURAT_PELANTIKAN!$F$2:$F$56,B16)</f>
        <v>0</v>
      </c>
      <c r="F16" s="4">
        <f>COUNTIF(DATA_SURAT_PELANTIKAN!$G$2:$G$56,B16)</f>
        <v>2</v>
      </c>
      <c r="G16" s="6">
        <f t="shared" si="0"/>
        <v>2</v>
      </c>
      <c r="H16" s="4">
        <f>COUNTIF(DATA_SURAT_PELANTIKAN!$D$57:$D$150,B16)</f>
        <v>0</v>
      </c>
      <c r="I16" s="4">
        <f>COUNTIF(DATA_SURAT_PELANTIKAN!$E$57:$E$150,B16)</f>
        <v>0</v>
      </c>
      <c r="J16" s="4">
        <f>COUNTIF(DATA_SURAT_PELANTIKAN!$F$57:$F$150,B16)</f>
        <v>2</v>
      </c>
      <c r="K16" s="4">
        <f>COUNTIF(DATA_SURAT_PELANTIKAN!$G$57:$G$150,B16)</f>
        <v>0</v>
      </c>
      <c r="L16" s="6">
        <f t="shared" si="1"/>
        <v>2</v>
      </c>
    </row>
    <row r="17" spans="1:12" ht="27.75" customHeight="1">
      <c r="A17" s="41">
        <v>13</v>
      </c>
      <c r="B17" s="42" t="s">
        <v>419</v>
      </c>
      <c r="C17" s="41">
        <f>COUNTIF(DATA_SURAT_PELANTIKAN!$D$2:$D$56,B17)</f>
        <v>0</v>
      </c>
      <c r="D17" s="41">
        <f>COUNTIF(DATA_SURAT_PELANTIKAN!$E$2:$E$56,B17)</f>
        <v>0</v>
      </c>
      <c r="E17" s="41">
        <f>COUNTIF(DATA_SURAT_PELANTIKAN!$F$2:$F$56,B17)</f>
        <v>3</v>
      </c>
      <c r="F17" s="41">
        <f>COUNTIF(DATA_SURAT_PELANTIKAN!$G$2:$G$56,B17)</f>
        <v>0</v>
      </c>
      <c r="G17" s="43">
        <f t="shared" si="0"/>
        <v>3</v>
      </c>
      <c r="H17" s="41">
        <f>COUNTIF(DATA_SURAT_PELANTIKAN!$D$57:$D$150,B17)</f>
        <v>0</v>
      </c>
      <c r="I17" s="41">
        <f>COUNTIF(DATA_SURAT_PELANTIKAN!$E$57:$E$150,B17)</f>
        <v>0</v>
      </c>
      <c r="J17" s="41">
        <f>COUNTIF(DATA_SURAT_PELANTIKAN!$F$57:$F$150,B17)</f>
        <v>0</v>
      </c>
      <c r="K17" s="41">
        <f>COUNTIF(DATA_SURAT_PELANTIKAN!$G$57:$G$150,B17)</f>
        <v>0</v>
      </c>
      <c r="L17" s="43">
        <f t="shared" si="1"/>
        <v>0</v>
      </c>
    </row>
    <row r="18" spans="1:12" ht="27.75" customHeight="1">
      <c r="A18" s="44">
        <v>14</v>
      </c>
      <c r="B18" s="45" t="s">
        <v>171</v>
      </c>
      <c r="C18" s="44">
        <f>COUNTIF(DATA_SURAT_PELANTIKAN!$D$2:$D$56,B18)</f>
        <v>1</v>
      </c>
      <c r="D18" s="44">
        <f>COUNTIF(DATA_SURAT_PELANTIKAN!$E$2:$E$56,B18)</f>
        <v>0</v>
      </c>
      <c r="E18" s="44">
        <f>COUNTIF(DATA_SURAT_PELANTIKAN!$F$2:$F$56,B18)</f>
        <v>1</v>
      </c>
      <c r="F18" s="44">
        <f>COUNTIF(DATA_SURAT_PELANTIKAN!$G$2:$G$56,B18)</f>
        <v>1</v>
      </c>
      <c r="G18" s="46">
        <f t="shared" si="0"/>
        <v>3</v>
      </c>
      <c r="H18" s="44">
        <f>COUNTIF(DATA_SURAT_PELANTIKAN!$D$57:$D$150,B18)</f>
        <v>0</v>
      </c>
      <c r="I18" s="44">
        <f>COUNTIF(DATA_SURAT_PELANTIKAN!$E$57:$E$150,B18)</f>
        <v>0</v>
      </c>
      <c r="J18" s="44">
        <f>COUNTIF(DATA_SURAT_PELANTIKAN!$F$57:$F$150,B18)</f>
        <v>1</v>
      </c>
      <c r="K18" s="44">
        <f>COUNTIF(DATA_SURAT_PELANTIKAN!$G$57:$G$150,B18)</f>
        <v>0</v>
      </c>
      <c r="L18" s="46">
        <f t="shared" si="1"/>
        <v>1</v>
      </c>
    </row>
    <row r="19" spans="1:12" ht="28.5" customHeight="1">
      <c r="A19" s="4">
        <v>15</v>
      </c>
      <c r="B19" s="7" t="s">
        <v>227</v>
      </c>
      <c r="C19" s="4">
        <f>COUNTIF(DATA_SURAT_PELANTIKAN!$D$2:$D$56,B19)</f>
        <v>0</v>
      </c>
      <c r="D19" s="4">
        <f>COUNTIF(DATA_SURAT_PELANTIKAN!$E$2:$E$56,B19)</f>
        <v>0</v>
      </c>
      <c r="E19" s="4">
        <f>COUNTIF(DATA_SURAT_PELANTIKAN!$F$2:$F$56,B19)</f>
        <v>2</v>
      </c>
      <c r="F19" s="4">
        <f>COUNTIF(DATA_SURAT_PELANTIKAN!$G$2:$G$56,B19)</f>
        <v>1</v>
      </c>
      <c r="G19" s="6">
        <f t="shared" si="0"/>
        <v>3</v>
      </c>
      <c r="H19" s="4">
        <f>COUNTIF(DATA_SURAT_PELANTIKAN!$D$57:$D$150,B19)</f>
        <v>3</v>
      </c>
      <c r="I19" s="4">
        <f>COUNTIF(DATA_SURAT_PELANTIKAN!$E$57:$E$150,B19)</f>
        <v>0</v>
      </c>
      <c r="J19" s="4">
        <f>COUNTIF(DATA_SURAT_PELANTIKAN!$F$57:$F$150,B19)</f>
        <v>3</v>
      </c>
      <c r="K19" s="4">
        <f>COUNTIF(DATA_SURAT_PELANTIKAN!$G$57:$G$150,B19)</f>
        <v>0</v>
      </c>
      <c r="L19" s="6">
        <f t="shared" si="1"/>
        <v>6</v>
      </c>
    </row>
    <row r="20" spans="1:12" ht="28.5" customHeight="1">
      <c r="A20" s="4">
        <v>16</v>
      </c>
      <c r="B20" s="7" t="s">
        <v>236</v>
      </c>
      <c r="C20" s="4">
        <f>COUNTIF(DATA_SURAT_PELANTIKAN!$D$2:$D$56,B20)</f>
        <v>1</v>
      </c>
      <c r="D20" s="4">
        <f>COUNTIF(DATA_SURAT_PELANTIKAN!$E$2:$E$56,B20)</f>
        <v>0</v>
      </c>
      <c r="E20" s="4">
        <f>COUNTIF(DATA_SURAT_PELANTIKAN!$F$2:$F$56,B20)</f>
        <v>1</v>
      </c>
      <c r="F20" s="4">
        <f>COUNTIF(DATA_SURAT_PELANTIKAN!$G$2:$G$56,B20)</f>
        <v>0</v>
      </c>
      <c r="G20" s="6">
        <f t="shared" si="0"/>
        <v>2</v>
      </c>
      <c r="H20" s="4">
        <f>COUNTIF(DATA_SURAT_PELANTIKAN!$D$57:$D$150,B20)</f>
        <v>2</v>
      </c>
      <c r="I20" s="4">
        <f>COUNTIF(DATA_SURAT_PELANTIKAN!$E$57:$E$150,B20)</f>
        <v>0</v>
      </c>
      <c r="J20" s="4">
        <f>COUNTIF(DATA_SURAT_PELANTIKAN!$F$57:$F$150,B20)</f>
        <v>3</v>
      </c>
      <c r="K20" s="4">
        <f>COUNTIF(DATA_SURAT_PELANTIKAN!$G$57:$G$150,B20)</f>
        <v>0</v>
      </c>
      <c r="L20" s="6">
        <f t="shared" si="1"/>
        <v>5</v>
      </c>
    </row>
    <row r="21" spans="1:12" ht="28.5" customHeight="1">
      <c r="A21" s="4">
        <v>17</v>
      </c>
      <c r="B21" s="8" t="s">
        <v>300</v>
      </c>
      <c r="C21" s="4">
        <f>COUNTIF(DATA_SURAT_PELANTIKAN!$D$2:$D$56,B21)</f>
        <v>0</v>
      </c>
      <c r="D21" s="4">
        <f>COUNTIF(DATA_SURAT_PELANTIKAN!$E$2:$E$56,B21)</f>
        <v>0</v>
      </c>
      <c r="E21" s="4">
        <f>COUNTIF(DATA_SURAT_PELANTIKAN!$F$2:$F$56,B21)</f>
        <v>2</v>
      </c>
      <c r="F21" s="4">
        <f>COUNTIF(DATA_SURAT_PELANTIKAN!$G$2:$G$56,B21)</f>
        <v>0</v>
      </c>
      <c r="G21" s="6">
        <f t="shared" si="0"/>
        <v>2</v>
      </c>
      <c r="H21" s="4">
        <f>COUNTIF(DATA_SURAT_PELANTIKAN!$D$57:$D$150,B21)</f>
        <v>0</v>
      </c>
      <c r="I21" s="4">
        <f>COUNTIF(DATA_SURAT_PELANTIKAN!$E$57:$E$150,B21)</f>
        <v>0</v>
      </c>
      <c r="J21" s="4">
        <f>COUNTIF(DATA_SURAT_PELANTIKAN!$F$57:$F$150,B21)</f>
        <v>3</v>
      </c>
      <c r="K21" s="4">
        <f>COUNTIF(DATA_SURAT_PELANTIKAN!$G$57:$G$150,B21)</f>
        <v>0</v>
      </c>
      <c r="L21" s="6">
        <f t="shared" si="1"/>
        <v>3</v>
      </c>
    </row>
    <row r="22" spans="1:12" ht="28.5" customHeight="1">
      <c r="A22" s="4">
        <v>18</v>
      </c>
      <c r="B22" s="9" t="s">
        <v>348</v>
      </c>
      <c r="C22" s="4">
        <f>COUNTIF(DATA_SURAT_PELANTIKAN!$D$2:$D$56,B22)</f>
        <v>2</v>
      </c>
      <c r="D22" s="4">
        <f>COUNTIF(DATA_SURAT_PELANTIKAN!$E$2:$E$56,B22)</f>
        <v>0</v>
      </c>
      <c r="E22" s="4">
        <f>COUNTIF(DATA_SURAT_PELANTIKAN!$F$2:$F$56,B22)</f>
        <v>0</v>
      </c>
      <c r="F22" s="4">
        <f>COUNTIF(DATA_SURAT_PELANTIKAN!$G$2:$G$56,B22)</f>
        <v>0</v>
      </c>
      <c r="G22" s="6">
        <f t="shared" si="0"/>
        <v>2</v>
      </c>
      <c r="H22" s="4">
        <f>COUNTIF(DATA_SURAT_PELANTIKAN!$D$57:$D$150,B22)</f>
        <v>2</v>
      </c>
      <c r="I22" s="4">
        <f>COUNTIF(DATA_SURAT_PELANTIKAN!$E$57:$E$150,B22)</f>
        <v>0</v>
      </c>
      <c r="J22" s="4">
        <f>COUNTIF(DATA_SURAT_PELANTIKAN!$F$57:$F$150,B22)</f>
        <v>2</v>
      </c>
      <c r="K22" s="4">
        <f>COUNTIF(DATA_SURAT_PELANTIKAN!$G$57:$G$150,B22)</f>
        <v>1</v>
      </c>
      <c r="L22" s="6">
        <f t="shared" si="1"/>
        <v>5</v>
      </c>
    </row>
    <row r="23" spans="1:12" ht="28.5" customHeight="1">
      <c r="A23" s="4">
        <v>19</v>
      </c>
      <c r="B23" s="7" t="s">
        <v>392</v>
      </c>
      <c r="C23" s="4">
        <f>COUNTIF(DATA_SURAT_PELANTIKAN!$D$2:$D$56,B23)</f>
        <v>0</v>
      </c>
      <c r="D23" s="4">
        <f>COUNTIF(DATA_SURAT_PELANTIKAN!$E$2:$E$56,B23)</f>
        <v>0</v>
      </c>
      <c r="E23" s="4">
        <f>COUNTIF(DATA_SURAT_PELANTIKAN!$F$2:$F$56,B23)</f>
        <v>1</v>
      </c>
      <c r="F23" s="4">
        <f>COUNTIF(DATA_SURAT_PELANTIKAN!$G$2:$G$56,B23)</f>
        <v>0</v>
      </c>
      <c r="G23" s="6">
        <f t="shared" si="0"/>
        <v>1</v>
      </c>
      <c r="H23" s="4">
        <f>COUNTIF(DATA_SURAT_PELANTIKAN!$D$57:$D$150,B23)</f>
        <v>1</v>
      </c>
      <c r="I23" s="4">
        <f>COUNTIF(DATA_SURAT_PELANTIKAN!$E$57:$E$150,B23)</f>
        <v>0</v>
      </c>
      <c r="J23" s="4">
        <f>COUNTIF(DATA_SURAT_PELANTIKAN!$F$57:$F$150,B23)</f>
        <v>5</v>
      </c>
      <c r="K23" s="4">
        <f>COUNTIF(DATA_SURAT_PELANTIKAN!$G$57:$G$150,B23)</f>
        <v>1</v>
      </c>
      <c r="L23" s="6">
        <f t="shared" si="1"/>
        <v>7</v>
      </c>
    </row>
    <row r="24" spans="1:12" ht="28.5" customHeight="1">
      <c r="A24" s="4">
        <v>20</v>
      </c>
      <c r="B24" s="7" t="s">
        <v>512</v>
      </c>
      <c r="C24" s="4">
        <f>COUNTIF(DATA_SURAT_PELANTIKAN!$D$2:$D$56,B24)</f>
        <v>0</v>
      </c>
      <c r="D24" s="4">
        <f>COUNTIF(DATA_SURAT_PELANTIKAN!$E$2:$E$56,B24)</f>
        <v>0</v>
      </c>
      <c r="E24" s="4">
        <f>COUNTIF(DATA_SURAT_PELANTIKAN!$F$2:$F$56,B24)</f>
        <v>0</v>
      </c>
      <c r="F24" s="4">
        <f>COUNTIF(DATA_SURAT_PELANTIKAN!$G$2:$G$56,B24)</f>
        <v>0</v>
      </c>
      <c r="G24" s="6">
        <f t="shared" si="0"/>
        <v>0</v>
      </c>
      <c r="H24" s="4">
        <f>COUNTIF(DATA_SURAT_PELANTIKAN!$D$57:$D$150,B24)</f>
        <v>2</v>
      </c>
      <c r="I24" s="4">
        <f>COUNTIF(DATA_SURAT_PELANTIKAN!$E$57:$E$150,B24)</f>
        <v>0</v>
      </c>
      <c r="J24" s="4">
        <f>COUNTIF(DATA_SURAT_PELANTIKAN!$F$57:$F$150,B24)</f>
        <v>1</v>
      </c>
      <c r="K24" s="4">
        <f>COUNTIF(DATA_SURAT_PELANTIKAN!$G$57:$G$150,B24)</f>
        <v>0</v>
      </c>
      <c r="L24" s="6">
        <f t="shared" si="1"/>
        <v>3</v>
      </c>
    </row>
    <row r="25" spans="1:12" ht="28.5" customHeight="1">
      <c r="A25" s="4">
        <v>21</v>
      </c>
      <c r="B25" s="9" t="s">
        <v>537</v>
      </c>
      <c r="C25" s="4">
        <f>COUNTIF(DATA_SURAT_PELANTIKAN!$D$2:$D$56,B25)</f>
        <v>0</v>
      </c>
      <c r="D25" s="4">
        <f>COUNTIF(DATA_SURAT_PELANTIKAN!$E$2:$E$56,B25)</f>
        <v>0</v>
      </c>
      <c r="E25" s="4">
        <f>COUNTIF(DATA_SURAT_PELANTIKAN!$F$2:$F$56,B25)</f>
        <v>0</v>
      </c>
      <c r="F25" s="4">
        <f>COUNTIF(DATA_SURAT_PELANTIKAN!$G$2:$G$56,B25)</f>
        <v>0</v>
      </c>
      <c r="G25" s="6">
        <f t="shared" si="0"/>
        <v>0</v>
      </c>
      <c r="H25" s="4">
        <f>COUNTIF(DATA_SURAT_PELANTIKAN!$D$57:$D$150,B25)</f>
        <v>4</v>
      </c>
      <c r="I25" s="4">
        <f>COUNTIF(DATA_SURAT_PELANTIKAN!$E$57:$E$150,B25)</f>
        <v>0</v>
      </c>
      <c r="J25" s="4">
        <f>COUNTIF(DATA_SURAT_PELANTIKAN!$F$57:$F$150,B25)</f>
        <v>0</v>
      </c>
      <c r="K25" s="4">
        <f>COUNTIF(DATA_SURAT_PELANTIKAN!$G$57:$G$150,B25)</f>
        <v>0</v>
      </c>
      <c r="L25" s="6">
        <f t="shared" si="1"/>
        <v>4</v>
      </c>
    </row>
    <row r="26" spans="1:12" ht="28.5" customHeight="1">
      <c r="A26" s="4">
        <v>22</v>
      </c>
      <c r="B26" s="5" t="s">
        <v>37</v>
      </c>
      <c r="C26" s="4">
        <f>COUNTIF(DATA_SURAT_PELANTIKAN!$D$2:$D$56,B26)</f>
        <v>2</v>
      </c>
      <c r="D26" s="4">
        <f>COUNTIF(DATA_SURAT_PELANTIKAN!$E$2:$E$56,B26)</f>
        <v>0</v>
      </c>
      <c r="E26" s="4">
        <f>COUNTIF(DATA_SURAT_PELANTIKAN!$F$2:$F$56,B26)</f>
        <v>0</v>
      </c>
      <c r="F26" s="4">
        <f>COUNTIF(DATA_SURAT_PELANTIKAN!$G$2:$G$56,B26)</f>
        <v>0</v>
      </c>
      <c r="G26" s="6">
        <f t="shared" si="0"/>
        <v>2</v>
      </c>
      <c r="H26" s="4">
        <f>COUNTIF(DATA_SURAT_PELANTIKAN!$D$57:$D$150,B26)</f>
        <v>2</v>
      </c>
      <c r="I26" s="4">
        <f>COUNTIF(DATA_SURAT_PELANTIKAN!$E$57:$E$150,B26)</f>
        <v>0</v>
      </c>
      <c r="J26" s="4">
        <f>COUNTIF(DATA_SURAT_PELANTIKAN!$F$57:$F$150,B26)</f>
        <v>3</v>
      </c>
      <c r="K26" s="4">
        <f>COUNTIF(DATA_SURAT_PELANTIKAN!$G$57:$G$150,B26)</f>
        <v>4</v>
      </c>
      <c r="L26" s="6">
        <f t="shared" si="1"/>
        <v>9</v>
      </c>
    </row>
    <row r="27" spans="1:12" ht="28.5" customHeight="1">
      <c r="A27" s="4">
        <v>23</v>
      </c>
      <c r="B27" s="5" t="s">
        <v>932</v>
      </c>
      <c r="C27" s="4">
        <f>COUNTIF(DATA_SURAT_PELANTIKAN!$D$2:$D$56,B27)</f>
        <v>4</v>
      </c>
      <c r="D27" s="4">
        <f>COUNTIF(DATA_SURAT_PELANTIKAN!$E$2:$E$56,B27)</f>
        <v>0</v>
      </c>
      <c r="E27" s="4">
        <f>COUNTIF(DATA_SURAT_PELANTIKAN!$F$2:$F$56,B27)</f>
        <v>0</v>
      </c>
      <c r="F27" s="4">
        <f>COUNTIF(DATA_SURAT_PELANTIKAN!$G$2:$G$56,B27)</f>
        <v>0</v>
      </c>
      <c r="G27" s="6">
        <f t="shared" si="0"/>
        <v>4</v>
      </c>
      <c r="H27" s="4">
        <f>COUNTIF(DATA_SURAT_PELANTIKAN!$D$57:$D$150,B27)</f>
        <v>5</v>
      </c>
      <c r="I27" s="4">
        <f>COUNTIF(DATA_SURAT_PELANTIKAN!$E$57:$E$150,B27)</f>
        <v>2</v>
      </c>
      <c r="J27" s="4">
        <f>COUNTIF(DATA_SURAT_PELANTIKAN!$F$57:$F$150,B27)</f>
        <v>0</v>
      </c>
      <c r="K27" s="4">
        <f>COUNTIF(DATA_SURAT_PELANTIKAN!$G$57:$G$150,B27)</f>
        <v>0</v>
      </c>
      <c r="L27" s="6">
        <f t="shared" si="1"/>
        <v>7</v>
      </c>
    </row>
    <row r="28" spans="1:12" ht="28.5" customHeight="1">
      <c r="A28" s="4">
        <v>24</v>
      </c>
      <c r="B28" s="5" t="s">
        <v>38</v>
      </c>
      <c r="C28" s="4">
        <f>COUNTIF(DATA_SURAT_PELANTIKAN!$D$2:$D$56,B28)</f>
        <v>1</v>
      </c>
      <c r="D28" s="4">
        <f>COUNTIF(DATA_SURAT_PELANTIKAN!$E$2:$E$56,B28)</f>
        <v>2</v>
      </c>
      <c r="E28" s="4">
        <f>COUNTIF(DATA_SURAT_PELANTIKAN!$F$2:$F$56,B28)</f>
        <v>0</v>
      </c>
      <c r="F28" s="4">
        <f>COUNTIF(DATA_SURAT_PELANTIKAN!$G$2:$G$56,B28)</f>
        <v>2</v>
      </c>
      <c r="G28" s="6">
        <f t="shared" si="0"/>
        <v>5</v>
      </c>
      <c r="H28" s="4">
        <f>COUNTIF(DATA_SURAT_PELANTIKAN!$D$57:$D$150,B28)</f>
        <v>1</v>
      </c>
      <c r="I28" s="4">
        <f>COUNTIF(DATA_SURAT_PELANTIKAN!$E$57:$E$150,B28)</f>
        <v>1</v>
      </c>
      <c r="J28" s="4">
        <f>COUNTIF(DATA_SURAT_PELANTIKAN!$F$57:$F$150,B28)</f>
        <v>0</v>
      </c>
      <c r="K28" s="4">
        <f>COUNTIF(DATA_SURAT_PELANTIKAN!$G$57:$G$150,B28)</f>
        <v>3</v>
      </c>
      <c r="L28" s="6">
        <f t="shared" si="1"/>
        <v>5</v>
      </c>
    </row>
    <row r="29" spans="1:12" ht="28.5" customHeight="1">
      <c r="A29" s="4">
        <v>25</v>
      </c>
      <c r="B29" s="7" t="s">
        <v>40</v>
      </c>
      <c r="C29" s="4">
        <f>COUNTIF(DATA_SURAT_PELANTIKAN!$D$2:$D$56,B29)</f>
        <v>1</v>
      </c>
      <c r="D29" s="4">
        <f>COUNTIF(DATA_SURAT_PELANTIKAN!$E$2:$E$56,B29)</f>
        <v>2</v>
      </c>
      <c r="E29" s="4">
        <f>COUNTIF(DATA_SURAT_PELANTIKAN!$F$2:$F$56,B29)</f>
        <v>0</v>
      </c>
      <c r="F29" s="4">
        <f>COUNTIF(DATA_SURAT_PELANTIKAN!$G$2:$G$56,B29)</f>
        <v>3</v>
      </c>
      <c r="G29" s="6">
        <f t="shared" si="0"/>
        <v>6</v>
      </c>
      <c r="H29" s="4">
        <f>COUNTIF(DATA_SURAT_PELANTIKAN!$D$57:$D$150,B29)</f>
        <v>0</v>
      </c>
      <c r="I29" s="4">
        <f>COUNTIF(DATA_SURAT_PELANTIKAN!$E$57:$E$150,B29)</f>
        <v>2</v>
      </c>
      <c r="J29" s="4">
        <f>COUNTIF(DATA_SURAT_PELANTIKAN!$F$57:$F$150,B29)</f>
        <v>0</v>
      </c>
      <c r="K29" s="4">
        <f>COUNTIF(DATA_SURAT_PELANTIKAN!$G$57:$G$150,B29)</f>
        <v>5</v>
      </c>
      <c r="L29" s="6">
        <f t="shared" si="1"/>
        <v>7</v>
      </c>
    </row>
    <row r="30" spans="1:12" ht="28.5" customHeight="1">
      <c r="A30" s="4">
        <v>26</v>
      </c>
      <c r="B30" s="5" t="s">
        <v>933</v>
      </c>
      <c r="C30" s="4">
        <f>COUNTIF(DATA_SURAT_PELANTIKAN!$D$2:$D$56,B30)</f>
        <v>0</v>
      </c>
      <c r="D30" s="4">
        <f>COUNTIF(DATA_SURAT_PELANTIKAN!$E$2:$E$56,B30)</f>
        <v>2</v>
      </c>
      <c r="E30" s="4">
        <f>COUNTIF(DATA_SURAT_PELANTIKAN!$F$2:$F$56,B30)</f>
        <v>0</v>
      </c>
      <c r="F30" s="4">
        <f>COUNTIF(DATA_SURAT_PELANTIKAN!$G$2:$G$56,B30)</f>
        <v>0</v>
      </c>
      <c r="G30" s="6">
        <f t="shared" si="0"/>
        <v>2</v>
      </c>
      <c r="H30" s="4">
        <f>COUNTIF(DATA_SURAT_PELANTIKAN!$D$57:$D$150,B30)</f>
        <v>0</v>
      </c>
      <c r="I30" s="4">
        <f>COUNTIF(DATA_SURAT_PELANTIKAN!$E$57:$E$150,B30)</f>
        <v>1</v>
      </c>
      <c r="J30" s="4">
        <f>COUNTIF(DATA_SURAT_PELANTIKAN!$F$57:$F$150,B30)</f>
        <v>0</v>
      </c>
      <c r="K30" s="4">
        <f>COUNTIF(DATA_SURAT_PELANTIKAN!$G$57:$G$150,B30)</f>
        <v>0</v>
      </c>
      <c r="L30" s="6">
        <f t="shared" si="1"/>
        <v>1</v>
      </c>
    </row>
    <row r="31" spans="1:12" ht="28.5" customHeight="1">
      <c r="A31" s="4">
        <v>27</v>
      </c>
      <c r="B31" s="5" t="s">
        <v>74</v>
      </c>
      <c r="C31" s="4">
        <f>COUNTIF(DATA_SURAT_PELANTIKAN!$D$2:$D$56,B31)</f>
        <v>1</v>
      </c>
      <c r="D31" s="4">
        <f>COUNTIF(DATA_SURAT_PELANTIKAN!$E$2:$E$56,B31)</f>
        <v>2</v>
      </c>
      <c r="E31" s="4">
        <f>COUNTIF(DATA_SURAT_PELANTIKAN!$F$2:$F$56,B31)</f>
        <v>0</v>
      </c>
      <c r="F31" s="4">
        <f>COUNTIF(DATA_SURAT_PELANTIKAN!$G$2:$G$56,B31)</f>
        <v>2</v>
      </c>
      <c r="G31" s="6">
        <f t="shared" si="0"/>
        <v>5</v>
      </c>
      <c r="H31" s="4">
        <f>COUNTIF(DATA_SURAT_PELANTIKAN!$D$57:$D$150,B31)</f>
        <v>0</v>
      </c>
      <c r="I31" s="4">
        <f>COUNTIF(DATA_SURAT_PELANTIKAN!$E$57:$E$150,B31)</f>
        <v>2</v>
      </c>
      <c r="J31" s="4">
        <f>COUNTIF(DATA_SURAT_PELANTIKAN!$F$57:$F$150,B31)</f>
        <v>0</v>
      </c>
      <c r="K31" s="4">
        <f>COUNTIF(DATA_SURAT_PELANTIKAN!$G$57:$G$150,B31)</f>
        <v>0</v>
      </c>
      <c r="L31" s="6">
        <f t="shared" si="1"/>
        <v>2</v>
      </c>
    </row>
    <row r="32" spans="1:12" ht="28.5" customHeight="1">
      <c r="A32" s="4">
        <v>28</v>
      </c>
      <c r="B32" s="7" t="s">
        <v>75</v>
      </c>
      <c r="C32" s="4">
        <f>COUNTIF(DATA_SURAT_PELANTIKAN!$D$2:$D$56,B32)</f>
        <v>0</v>
      </c>
      <c r="D32" s="4">
        <f>COUNTIF(DATA_SURAT_PELANTIKAN!$E$2:$E$56,B32)</f>
        <v>2</v>
      </c>
      <c r="E32" s="4">
        <f>COUNTIF(DATA_SURAT_PELANTIKAN!$F$2:$F$56,B32)</f>
        <v>1</v>
      </c>
      <c r="F32" s="4">
        <f>COUNTIF(DATA_SURAT_PELANTIKAN!$G$2:$G$56,B32)</f>
        <v>4</v>
      </c>
      <c r="G32" s="6">
        <f t="shared" si="0"/>
        <v>7</v>
      </c>
      <c r="H32" s="4">
        <f>COUNTIF(DATA_SURAT_PELANTIKAN!$D$57:$D$150,B32)</f>
        <v>0</v>
      </c>
      <c r="I32" s="4">
        <f>COUNTIF(DATA_SURAT_PELANTIKAN!$E$57:$E$150,B32)</f>
        <v>0</v>
      </c>
      <c r="J32" s="4">
        <f>COUNTIF(DATA_SURAT_PELANTIKAN!$F$57:$F$150,B32)</f>
        <v>2</v>
      </c>
      <c r="K32" s="4">
        <f>COUNTIF(DATA_SURAT_PELANTIKAN!$G$57:$G$150,B32)</f>
        <v>4</v>
      </c>
      <c r="L32" s="6">
        <f t="shared" si="1"/>
        <v>6</v>
      </c>
    </row>
    <row r="33" spans="1:12" ht="28.5" customHeight="1">
      <c r="A33" s="4">
        <v>29</v>
      </c>
      <c r="B33" s="7" t="s">
        <v>76</v>
      </c>
      <c r="C33" s="4">
        <f>COUNTIF(DATA_SURAT_PELANTIKAN!$D$2:$D$56,B33)</f>
        <v>0</v>
      </c>
      <c r="D33" s="4">
        <f>COUNTIF(DATA_SURAT_PELANTIKAN!$E$2:$E$56,B33)</f>
        <v>0</v>
      </c>
      <c r="E33" s="4">
        <f>COUNTIF(DATA_SURAT_PELANTIKAN!$F$2:$F$56,B33)</f>
        <v>0</v>
      </c>
      <c r="F33" s="4">
        <f>COUNTIF(DATA_SURAT_PELANTIKAN!$G$2:$G$56,B33)</f>
        <v>1</v>
      </c>
      <c r="G33" s="6">
        <f t="shared" si="0"/>
        <v>1</v>
      </c>
      <c r="H33" s="4">
        <f>COUNTIF(DATA_SURAT_PELANTIKAN!$D$57:$D$150,B33)</f>
        <v>0</v>
      </c>
      <c r="I33" s="4">
        <f>COUNTIF(DATA_SURAT_PELANTIKAN!$E$57:$E$150,B33)</f>
        <v>0</v>
      </c>
      <c r="J33" s="4">
        <f>COUNTIF(DATA_SURAT_PELANTIKAN!$F$57:$F$150,B33)</f>
        <v>0</v>
      </c>
      <c r="K33" s="4">
        <f>COUNTIF(DATA_SURAT_PELANTIKAN!$G$57:$G$150,B33)</f>
        <v>1</v>
      </c>
      <c r="L33" s="6">
        <f t="shared" si="1"/>
        <v>1</v>
      </c>
    </row>
    <row r="34" spans="1:12" ht="28.5" customHeight="1">
      <c r="A34" s="4">
        <v>30</v>
      </c>
      <c r="B34" s="5" t="s">
        <v>88</v>
      </c>
      <c r="C34" s="4">
        <f>COUNTIF(DATA_SURAT_PELANTIKAN!$D$2:$D$56,B34)</f>
        <v>0</v>
      </c>
      <c r="D34" s="4">
        <f>COUNTIF(DATA_SURAT_PELANTIKAN!$E$2:$E$56,B34)</f>
        <v>3</v>
      </c>
      <c r="E34" s="4">
        <f>COUNTIF(DATA_SURAT_PELANTIKAN!$F$2:$F$56,B34)</f>
        <v>1</v>
      </c>
      <c r="F34" s="4">
        <f>COUNTIF(DATA_SURAT_PELANTIKAN!$G$2:$G$56,B34)</f>
        <v>1</v>
      </c>
      <c r="G34" s="6">
        <f t="shared" si="0"/>
        <v>5</v>
      </c>
      <c r="H34" s="4">
        <f>COUNTIF(DATA_SURAT_PELANTIKAN!$D$57:$D$150,B34)</f>
        <v>0</v>
      </c>
      <c r="I34" s="4">
        <f>COUNTIF(DATA_SURAT_PELANTIKAN!$E$57:$E$150,B34)</f>
        <v>3</v>
      </c>
      <c r="J34" s="4">
        <f>COUNTIF(DATA_SURAT_PELANTIKAN!$F$57:$F$150,B34)</f>
        <v>0</v>
      </c>
      <c r="K34" s="4">
        <f>COUNTIF(DATA_SURAT_PELANTIKAN!$G$57:$G$150,B34)</f>
        <v>0</v>
      </c>
      <c r="L34" s="6">
        <f t="shared" si="1"/>
        <v>3</v>
      </c>
    </row>
    <row r="35" spans="1:12" ht="28.5" customHeight="1">
      <c r="A35" s="4">
        <v>31</v>
      </c>
      <c r="B35" s="5" t="s">
        <v>90</v>
      </c>
      <c r="C35" s="4">
        <f>COUNTIF(DATA_SURAT_PELANTIKAN!$D$2:$D$56,B35)</f>
        <v>1</v>
      </c>
      <c r="D35" s="4">
        <f>COUNTIF(DATA_SURAT_PELANTIKAN!$E$2:$E$56,B35)</f>
        <v>1</v>
      </c>
      <c r="E35" s="4">
        <f>COUNTIF(DATA_SURAT_PELANTIKAN!$F$2:$F$56,B35)</f>
        <v>1</v>
      </c>
      <c r="F35" s="4">
        <f>COUNTIF(DATA_SURAT_PELANTIKAN!$G$2:$G$56,B35)</f>
        <v>3</v>
      </c>
      <c r="G35" s="6">
        <f t="shared" si="0"/>
        <v>6</v>
      </c>
      <c r="H35" s="4">
        <f>COUNTIF(DATA_SURAT_PELANTIKAN!$D$57:$D$150,B35)</f>
        <v>1</v>
      </c>
      <c r="I35" s="4">
        <f>COUNTIF(DATA_SURAT_PELANTIKAN!$E$57:$E$150,B35)</f>
        <v>1</v>
      </c>
      <c r="J35" s="4">
        <f>COUNTIF(DATA_SURAT_PELANTIKAN!$F$57:$F$150,B35)</f>
        <v>1</v>
      </c>
      <c r="K35" s="4">
        <f>COUNTIF(DATA_SURAT_PELANTIKAN!$G$57:$G$150,B35)</f>
        <v>1</v>
      </c>
      <c r="L35" s="6">
        <f t="shared" si="1"/>
        <v>4</v>
      </c>
    </row>
    <row r="36" spans="1:12" ht="28.5" customHeight="1">
      <c r="A36" s="4">
        <v>32</v>
      </c>
      <c r="B36" s="5" t="s">
        <v>98</v>
      </c>
      <c r="C36" s="4">
        <f>COUNTIF(DATA_SURAT_PELANTIKAN!$D$2:$D$56,B36)</f>
        <v>2</v>
      </c>
      <c r="D36" s="4">
        <f>COUNTIF(DATA_SURAT_PELANTIKAN!$E$2:$E$56,B36)</f>
        <v>1</v>
      </c>
      <c r="E36" s="4">
        <f>COUNTIF(DATA_SURAT_PELANTIKAN!$F$2:$F$56,B36)</f>
        <v>0</v>
      </c>
      <c r="F36" s="4">
        <f>COUNTIF(DATA_SURAT_PELANTIKAN!$G$2:$G$56,B36)</f>
        <v>1</v>
      </c>
      <c r="G36" s="6">
        <f t="shared" si="0"/>
        <v>4</v>
      </c>
      <c r="H36" s="4">
        <f>COUNTIF(DATA_SURAT_PELANTIKAN!$D$57:$D$150,B36)</f>
        <v>2</v>
      </c>
      <c r="I36" s="4">
        <f>COUNTIF(DATA_SURAT_PELANTIKAN!$E$57:$E$150,B36)</f>
        <v>3</v>
      </c>
      <c r="J36" s="4">
        <f>COUNTIF(DATA_SURAT_PELANTIKAN!$F$57:$F$150,B36)</f>
        <v>0</v>
      </c>
      <c r="K36" s="4">
        <f>COUNTIF(DATA_SURAT_PELANTIKAN!$G$57:$G$150,B36)</f>
        <v>5</v>
      </c>
      <c r="L36" s="6">
        <f t="shared" si="1"/>
        <v>10</v>
      </c>
    </row>
    <row r="37" spans="1:12" ht="28.5" customHeight="1">
      <c r="A37" s="4">
        <v>33</v>
      </c>
      <c r="B37" s="7" t="s">
        <v>99</v>
      </c>
      <c r="C37" s="4">
        <f>COUNTIF(DATA_SURAT_PELANTIKAN!$D$2:$D$56,B37)</f>
        <v>0</v>
      </c>
      <c r="D37" s="4">
        <f>COUNTIF(DATA_SURAT_PELANTIKAN!$E$2:$E$56,B37)</f>
        <v>0</v>
      </c>
      <c r="E37" s="4">
        <f>COUNTIF(DATA_SURAT_PELANTIKAN!$F$2:$F$56,B37)</f>
        <v>1</v>
      </c>
      <c r="F37" s="4">
        <f>COUNTIF(DATA_SURAT_PELANTIKAN!$G$2:$G$56,B37)</f>
        <v>3</v>
      </c>
      <c r="G37" s="6">
        <f t="shared" si="0"/>
        <v>4</v>
      </c>
      <c r="H37" s="4">
        <f>COUNTIF(DATA_SURAT_PELANTIKAN!$D$57:$D$150,B37)</f>
        <v>0</v>
      </c>
      <c r="I37" s="4">
        <f>COUNTIF(DATA_SURAT_PELANTIKAN!$E$57:$E$150,B37)</f>
        <v>0</v>
      </c>
      <c r="J37" s="4">
        <f>COUNTIF(DATA_SURAT_PELANTIKAN!$F$57:$F$150,B37)</f>
        <v>1</v>
      </c>
      <c r="K37" s="4">
        <f>COUNTIF(DATA_SURAT_PELANTIKAN!$G$57:$G$150,B37)</f>
        <v>3</v>
      </c>
      <c r="L37" s="6">
        <f t="shared" si="1"/>
        <v>4</v>
      </c>
    </row>
    <row r="38" spans="1:12" ht="28.5" customHeight="1">
      <c r="A38" s="4">
        <v>34</v>
      </c>
      <c r="B38" s="7" t="s">
        <v>688</v>
      </c>
      <c r="C38" s="4">
        <f>COUNTIF(DATA_SURAT_PELANTIKAN!$D$2:$D$56,B38)</f>
        <v>2</v>
      </c>
      <c r="D38" s="4">
        <f>COUNTIF(DATA_SURAT_PELANTIKAN!$E$2:$E$56,B38)</f>
        <v>0</v>
      </c>
      <c r="E38" s="4">
        <f>COUNTIF(DATA_SURAT_PELANTIKAN!$F$2:$F$56,B38)</f>
        <v>1</v>
      </c>
      <c r="F38" s="4">
        <f>COUNTIF(DATA_SURAT_PELANTIKAN!$G$2:$G$56,B38)</f>
        <v>1</v>
      </c>
      <c r="G38" s="6">
        <f t="shared" si="0"/>
        <v>4</v>
      </c>
      <c r="H38" s="4">
        <f>COUNTIF(DATA_SURAT_PELANTIKAN!$D$57:$D$150,B38)</f>
        <v>3</v>
      </c>
      <c r="I38" s="4">
        <f>COUNTIF(DATA_SURAT_PELANTIKAN!$E$57:$E$150,B38)</f>
        <v>1</v>
      </c>
      <c r="J38" s="4">
        <f>COUNTIF(DATA_SURAT_PELANTIKAN!$F$57:$F$150,B38)</f>
        <v>6</v>
      </c>
      <c r="K38" s="4">
        <f>COUNTIF(DATA_SURAT_PELANTIKAN!$G$57:$G$150,B38)</f>
        <v>1</v>
      </c>
      <c r="L38" s="6">
        <f t="shared" si="1"/>
        <v>11</v>
      </c>
    </row>
    <row r="39" spans="1:12" ht="28.5" customHeight="1">
      <c r="A39" s="4">
        <v>35</v>
      </c>
      <c r="B39" s="5" t="s">
        <v>107</v>
      </c>
      <c r="C39" s="4">
        <f>COUNTIF(DATA_SURAT_PELANTIKAN!$D$2:$D$56,B39)</f>
        <v>0</v>
      </c>
      <c r="D39" s="4">
        <f>COUNTIF(DATA_SURAT_PELANTIKAN!$E$2:$E$56,B39)</f>
        <v>1</v>
      </c>
      <c r="E39" s="4">
        <f>COUNTIF(DATA_SURAT_PELANTIKAN!$F$2:$F$56,B39)</f>
        <v>0</v>
      </c>
      <c r="F39" s="4">
        <f>COUNTIF(DATA_SURAT_PELANTIKAN!$G$2:$G$56,B39)</f>
        <v>0</v>
      </c>
      <c r="G39" s="6">
        <f t="shared" si="0"/>
        <v>1</v>
      </c>
      <c r="H39" s="4">
        <f>COUNTIF(DATA_SURAT_PELANTIKAN!$D$57:$D$150,B39)</f>
        <v>1</v>
      </c>
      <c r="I39" s="4">
        <f>COUNTIF(DATA_SURAT_PELANTIKAN!$E$57:$E$150,B39)</f>
        <v>1</v>
      </c>
      <c r="J39" s="4">
        <f>COUNTIF(DATA_SURAT_PELANTIKAN!$F$57:$F$150,B39)</f>
        <v>0</v>
      </c>
      <c r="K39" s="4">
        <f>COUNTIF(DATA_SURAT_PELANTIKAN!$G$57:$G$150,B39)</f>
        <v>2</v>
      </c>
      <c r="L39" s="6">
        <f t="shared" si="1"/>
        <v>4</v>
      </c>
    </row>
    <row r="40" spans="1:12" ht="28.5" customHeight="1">
      <c r="A40" s="4">
        <v>36</v>
      </c>
      <c r="B40" s="7" t="s">
        <v>934</v>
      </c>
      <c r="C40" s="4">
        <f>COUNTIF(DATA_SURAT_PELANTIKAN!$D$2:$D$56,B40)</f>
        <v>1</v>
      </c>
      <c r="D40" s="4">
        <f>COUNTIF(DATA_SURAT_PELANTIKAN!$E$2:$E$56,B40)</f>
        <v>2</v>
      </c>
      <c r="E40" s="4">
        <f>COUNTIF(DATA_SURAT_PELANTIKAN!$F$2:$F$56,B40)</f>
        <v>0</v>
      </c>
      <c r="F40" s="4">
        <f>COUNTIF(DATA_SURAT_PELANTIKAN!$G$2:$G$56,B40)</f>
        <v>0</v>
      </c>
      <c r="G40" s="6">
        <f t="shared" si="0"/>
        <v>3</v>
      </c>
      <c r="H40" s="4">
        <f>COUNTIF(DATA_SURAT_PELANTIKAN!$D$57:$D$150,B40)</f>
        <v>2</v>
      </c>
      <c r="I40" s="4">
        <f>COUNTIF(DATA_SURAT_PELANTIKAN!$E$57:$E$150,B40)</f>
        <v>0</v>
      </c>
      <c r="J40" s="4">
        <f>COUNTIF(DATA_SURAT_PELANTIKAN!$F$57:$F$150,B40)</f>
        <v>0</v>
      </c>
      <c r="K40" s="4">
        <f>COUNTIF(DATA_SURAT_PELANTIKAN!$G$57:$G$150,B40)</f>
        <v>0</v>
      </c>
      <c r="L40" s="6">
        <f t="shared" si="1"/>
        <v>2</v>
      </c>
    </row>
    <row r="41" spans="1:12" ht="28.5" customHeight="1">
      <c r="A41" s="4">
        <v>37</v>
      </c>
      <c r="B41" s="7" t="s">
        <v>707</v>
      </c>
      <c r="C41" s="4">
        <f>COUNTIF(DATA_SURAT_PELANTIKAN!$D$2:$D$56,B41)</f>
        <v>0</v>
      </c>
      <c r="D41" s="4">
        <f>COUNTIF(DATA_SURAT_PELANTIKAN!$E$2:$E$56,B41)</f>
        <v>1</v>
      </c>
      <c r="E41" s="4">
        <f>COUNTIF(DATA_SURAT_PELANTIKAN!$F$2:$F$56,B41)</f>
        <v>2</v>
      </c>
      <c r="F41" s="4">
        <f>COUNTIF(DATA_SURAT_PELANTIKAN!$G$2:$G$56,B41)</f>
        <v>0</v>
      </c>
      <c r="G41" s="6">
        <f t="shared" si="0"/>
        <v>3</v>
      </c>
      <c r="H41" s="4">
        <f>COUNTIF(DATA_SURAT_PELANTIKAN!$D$57:$D$150,B41)</f>
        <v>1</v>
      </c>
      <c r="I41" s="4">
        <f>COUNTIF(DATA_SURAT_PELANTIKAN!$E$57:$E$150,B41)</f>
        <v>0</v>
      </c>
      <c r="J41" s="4">
        <f>COUNTIF(DATA_SURAT_PELANTIKAN!$F$57:$F$150,B41)</f>
        <v>0</v>
      </c>
      <c r="K41" s="4">
        <f>COUNTIF(DATA_SURAT_PELANTIKAN!$G$57:$G$150,B41)</f>
        <v>1</v>
      </c>
      <c r="L41" s="6">
        <f t="shared" si="1"/>
        <v>2</v>
      </c>
    </row>
    <row r="42" spans="1:12" ht="28.5" customHeight="1">
      <c r="A42" s="4">
        <v>38</v>
      </c>
      <c r="B42" s="9" t="s">
        <v>935</v>
      </c>
      <c r="C42" s="4">
        <f>COUNTIF(DATA_SURAT_PELANTIKAN!$D$2:$D$56,B42)</f>
        <v>3</v>
      </c>
      <c r="D42" s="4">
        <f>COUNTIF(DATA_SURAT_PELANTIKAN!$E$2:$E$56,B42)</f>
        <v>1</v>
      </c>
      <c r="E42" s="4">
        <f>COUNTIF(DATA_SURAT_PELANTIKAN!$F$2:$F$56,B42)</f>
        <v>0</v>
      </c>
      <c r="F42" s="4">
        <f>COUNTIF(DATA_SURAT_PELANTIKAN!$G$2:$G$56,B42)</f>
        <v>0</v>
      </c>
      <c r="G42" s="6">
        <f t="shared" si="0"/>
        <v>4</v>
      </c>
      <c r="H42" s="4">
        <f>COUNTIF(DATA_SURAT_PELANTIKAN!$D$57:$D$150,B42)</f>
        <v>3</v>
      </c>
      <c r="I42" s="4">
        <f>COUNTIF(DATA_SURAT_PELANTIKAN!$E$57:$E$150,B42)</f>
        <v>0</v>
      </c>
      <c r="J42" s="4">
        <f>COUNTIF(DATA_SURAT_PELANTIKAN!$F$57:$F$150,B42)</f>
        <v>1</v>
      </c>
      <c r="K42" s="4">
        <f>COUNTIF(DATA_SURAT_PELANTIKAN!$G$57:$G$150,B42)</f>
        <v>0</v>
      </c>
      <c r="L42" s="6">
        <f t="shared" si="1"/>
        <v>4</v>
      </c>
    </row>
    <row r="43" spans="1:12" ht="28.5" customHeight="1">
      <c r="A43" s="4">
        <v>39</v>
      </c>
      <c r="B43" s="7" t="s">
        <v>681</v>
      </c>
      <c r="C43" s="4">
        <f>COUNTIF(DATA_SURAT_PELANTIKAN!$D$2:$D$56,B43)</f>
        <v>1</v>
      </c>
      <c r="D43" s="4">
        <f>COUNTIF(DATA_SURAT_PELANTIKAN!$E$2:$E$56,B43)</f>
        <v>2</v>
      </c>
      <c r="E43" s="4">
        <f>COUNTIF(DATA_SURAT_PELANTIKAN!$F$2:$F$56,B43)</f>
        <v>0</v>
      </c>
      <c r="F43" s="4">
        <f>COUNTIF(DATA_SURAT_PELANTIKAN!$G$2:$G$56,B43)</f>
        <v>1</v>
      </c>
      <c r="G43" s="6">
        <f t="shared" si="0"/>
        <v>4</v>
      </c>
      <c r="H43" s="4">
        <f>COUNTIF(DATA_SURAT_PELANTIKAN!$D$57:$D$150,B43)</f>
        <v>0</v>
      </c>
      <c r="I43" s="4">
        <f>COUNTIF(DATA_SURAT_PELANTIKAN!$E$57:$E$150,B43)</f>
        <v>0</v>
      </c>
      <c r="J43" s="4">
        <f>COUNTIF(DATA_SURAT_PELANTIKAN!$F$57:$F$150,B43)</f>
        <v>1</v>
      </c>
      <c r="K43" s="4">
        <f>COUNTIF(DATA_SURAT_PELANTIKAN!$G$57:$G$150,B43)</f>
        <v>1</v>
      </c>
      <c r="L43" s="6">
        <f t="shared" si="1"/>
        <v>2</v>
      </c>
    </row>
    <row r="44" spans="1:12" ht="28.5" customHeight="1">
      <c r="A44" s="4">
        <v>40</v>
      </c>
      <c r="B44" s="7" t="s">
        <v>164</v>
      </c>
      <c r="C44" s="4">
        <f>COUNTIF(DATA_SURAT_PELANTIKAN!$D$2:$D$56,B44)</f>
        <v>0</v>
      </c>
      <c r="D44" s="4">
        <f>COUNTIF(DATA_SURAT_PELANTIKAN!$E$2:$E$56,B44)</f>
        <v>0</v>
      </c>
      <c r="E44" s="4">
        <f>COUNTIF(DATA_SURAT_PELANTIKAN!$F$2:$F$56,B44)</f>
        <v>0</v>
      </c>
      <c r="F44" s="4">
        <f>COUNTIF(DATA_SURAT_PELANTIKAN!$G$2:$G$56,B44)</f>
        <v>5</v>
      </c>
      <c r="G44" s="6">
        <f t="shared" si="0"/>
        <v>5</v>
      </c>
      <c r="H44" s="4">
        <f>COUNTIF(DATA_SURAT_PELANTIKAN!$D$57:$D$150,B44)</f>
        <v>1</v>
      </c>
      <c r="I44" s="4">
        <f>COUNTIF(DATA_SURAT_PELANTIKAN!$E$57:$E$150,B44)</f>
        <v>0</v>
      </c>
      <c r="J44" s="4">
        <f>COUNTIF(DATA_SURAT_PELANTIKAN!$F$57:$F$150,B44)</f>
        <v>0</v>
      </c>
      <c r="K44" s="4">
        <f>COUNTIF(DATA_SURAT_PELANTIKAN!$G$57:$G$150,B44)</f>
        <v>1</v>
      </c>
      <c r="L44" s="6">
        <f t="shared" si="1"/>
        <v>2</v>
      </c>
    </row>
    <row r="45" spans="1:12" ht="28.5" customHeight="1">
      <c r="A45" s="4">
        <v>41</v>
      </c>
      <c r="B45" s="7" t="s">
        <v>173</v>
      </c>
      <c r="C45" s="4">
        <f>COUNTIF(DATA_SURAT_PELANTIKAN!$D$2:$D$56,B45)</f>
        <v>0</v>
      </c>
      <c r="D45" s="4">
        <f>COUNTIF(DATA_SURAT_PELANTIKAN!$E$2:$E$56,B45)</f>
        <v>0</v>
      </c>
      <c r="E45" s="4">
        <f>COUNTIF(DATA_SURAT_PELANTIKAN!$F$2:$F$56,B45)</f>
        <v>2</v>
      </c>
      <c r="F45" s="4">
        <f>COUNTIF(DATA_SURAT_PELANTIKAN!$G$2:$G$56,B45)</f>
        <v>2</v>
      </c>
      <c r="G45" s="6">
        <f t="shared" si="0"/>
        <v>4</v>
      </c>
      <c r="H45" s="4">
        <f>COUNTIF(DATA_SURAT_PELANTIKAN!$D$57:$D$150,B45)</f>
        <v>1</v>
      </c>
      <c r="I45" s="4">
        <f>COUNTIF(DATA_SURAT_PELANTIKAN!$E$57:$E$150,B45)</f>
        <v>0</v>
      </c>
      <c r="J45" s="4">
        <f>COUNTIF(DATA_SURAT_PELANTIKAN!$F$57:$F$150,B45)</f>
        <v>1</v>
      </c>
      <c r="K45" s="4">
        <f>COUNTIF(DATA_SURAT_PELANTIKAN!$G$57:$G$150,B45)</f>
        <v>1</v>
      </c>
      <c r="L45" s="6">
        <f t="shared" si="1"/>
        <v>3</v>
      </c>
    </row>
    <row r="46" spans="1:12" ht="28.5" customHeight="1">
      <c r="A46" s="4">
        <v>42</v>
      </c>
      <c r="B46" s="7" t="s">
        <v>183</v>
      </c>
      <c r="C46" s="4">
        <f>COUNTIF(DATA_SURAT_PELANTIKAN!$D$2:$D$56,B46)</f>
        <v>3</v>
      </c>
      <c r="D46" s="4">
        <f>COUNTIF(DATA_SURAT_PELANTIKAN!$E$2:$E$56,B46)</f>
        <v>0</v>
      </c>
      <c r="E46" s="4">
        <f>COUNTIF(DATA_SURAT_PELANTIKAN!$F$2:$F$56,B46)</f>
        <v>0</v>
      </c>
      <c r="F46" s="4">
        <f>COUNTIF(DATA_SURAT_PELANTIKAN!$G$2:$G$56,B46)</f>
        <v>0</v>
      </c>
      <c r="G46" s="6">
        <f t="shared" si="0"/>
        <v>3</v>
      </c>
      <c r="H46" s="4">
        <f>COUNTIF(DATA_SURAT_PELANTIKAN!$D$57:$D$150,B46)</f>
        <v>3</v>
      </c>
      <c r="I46" s="4">
        <f>COUNTIF(DATA_SURAT_PELANTIKAN!$E$57:$E$150,B46)</f>
        <v>0</v>
      </c>
      <c r="J46" s="4">
        <f>COUNTIF(DATA_SURAT_PELANTIKAN!$F$57:$F$150,B46)</f>
        <v>0</v>
      </c>
      <c r="K46" s="4">
        <f>COUNTIF(DATA_SURAT_PELANTIKAN!$G$57:$G$150,B46)</f>
        <v>1</v>
      </c>
      <c r="L46" s="6">
        <f t="shared" si="1"/>
        <v>4</v>
      </c>
    </row>
    <row r="47" spans="1:12" ht="28.5" customHeight="1">
      <c r="A47" s="4">
        <v>43</v>
      </c>
      <c r="B47" s="7" t="s">
        <v>172</v>
      </c>
      <c r="C47" s="4">
        <f>COUNTIF(DATA_SURAT_PELANTIKAN!$D$2:$D$56,B47)</f>
        <v>3</v>
      </c>
      <c r="D47" s="4">
        <f>COUNTIF(DATA_SURAT_PELANTIKAN!$E$2:$E$56,B47)</f>
        <v>0</v>
      </c>
      <c r="E47" s="4">
        <f>COUNTIF(DATA_SURAT_PELANTIKAN!$F$2:$F$56,B47)</f>
        <v>1</v>
      </c>
      <c r="F47" s="4">
        <f>COUNTIF(DATA_SURAT_PELANTIKAN!$G$2:$G$56,B47)</f>
        <v>3</v>
      </c>
      <c r="G47" s="6">
        <f t="shared" si="0"/>
        <v>7</v>
      </c>
      <c r="H47" s="4">
        <f>COUNTIF(DATA_SURAT_PELANTIKAN!$D$57:$D$150,B47)</f>
        <v>2</v>
      </c>
      <c r="I47" s="4">
        <f>COUNTIF(DATA_SURAT_PELANTIKAN!$E$57:$E$150,B47)</f>
        <v>2</v>
      </c>
      <c r="J47" s="4">
        <f>COUNTIF(DATA_SURAT_PELANTIKAN!$F$57:$F$150,B47)</f>
        <v>0</v>
      </c>
      <c r="K47" s="4">
        <f>COUNTIF(DATA_SURAT_PELANTIKAN!$G$57:$G$150,B47)</f>
        <v>1</v>
      </c>
      <c r="L47" s="6">
        <f t="shared" si="1"/>
        <v>5</v>
      </c>
    </row>
    <row r="48" spans="1:12" ht="28.5" customHeight="1">
      <c r="A48" s="4">
        <v>44</v>
      </c>
      <c r="B48" s="7" t="s">
        <v>190</v>
      </c>
      <c r="C48" s="4">
        <f>COUNTIF(DATA_SURAT_PELANTIKAN!$D$2:$D$56,B48)</f>
        <v>2</v>
      </c>
      <c r="D48" s="4">
        <f>COUNTIF(DATA_SURAT_PELANTIKAN!$E$2:$E$56,B48)</f>
        <v>1</v>
      </c>
      <c r="E48" s="4">
        <f>COUNTIF(DATA_SURAT_PELANTIKAN!$F$2:$F$56,B48)</f>
        <v>2</v>
      </c>
      <c r="F48" s="4">
        <f>COUNTIF(DATA_SURAT_PELANTIKAN!$G$2:$G$56,B48)</f>
        <v>0</v>
      </c>
      <c r="G48" s="6">
        <f t="shared" si="0"/>
        <v>5</v>
      </c>
      <c r="H48" s="4">
        <f>COUNTIF(DATA_SURAT_PELANTIKAN!$D$57:$D$150,B48)</f>
        <v>0</v>
      </c>
      <c r="I48" s="4">
        <f>COUNTIF(DATA_SURAT_PELANTIKAN!$E$57:$E$150,B48)</f>
        <v>0</v>
      </c>
      <c r="J48" s="4">
        <f>COUNTIF(DATA_SURAT_PELANTIKAN!$F$57:$F$150,B48)</f>
        <v>0</v>
      </c>
      <c r="K48" s="4">
        <f>COUNTIF(DATA_SURAT_PELANTIKAN!$G$57:$G$150,B48)</f>
        <v>1</v>
      </c>
      <c r="L48" s="6">
        <f t="shared" si="1"/>
        <v>1</v>
      </c>
    </row>
    <row r="49" spans="1:12" ht="28.5" customHeight="1">
      <c r="A49" s="4">
        <v>45</v>
      </c>
      <c r="B49" s="7" t="s">
        <v>197</v>
      </c>
      <c r="C49" s="4">
        <f>COUNTIF(DATA_SURAT_PELANTIKAN!$D$2:$D$56,B49)</f>
        <v>2</v>
      </c>
      <c r="D49" s="4">
        <f>COUNTIF(DATA_SURAT_PELANTIKAN!$E$2:$E$56,B49)</f>
        <v>1</v>
      </c>
      <c r="E49" s="4">
        <f>COUNTIF(DATA_SURAT_PELANTIKAN!$F$2:$F$56,B49)</f>
        <v>1</v>
      </c>
      <c r="F49" s="4">
        <f>COUNTIF(DATA_SURAT_PELANTIKAN!$G$2:$G$56,B49)</f>
        <v>0</v>
      </c>
      <c r="G49" s="6">
        <f t="shared" si="0"/>
        <v>4</v>
      </c>
      <c r="H49" s="4">
        <f>COUNTIF(DATA_SURAT_PELANTIKAN!$D$57:$D$150,B49)</f>
        <v>1</v>
      </c>
      <c r="I49" s="4">
        <f>COUNTIF(DATA_SURAT_PELANTIKAN!$E$57:$E$150,B49)</f>
        <v>1</v>
      </c>
      <c r="J49" s="4">
        <f>COUNTIF(DATA_SURAT_PELANTIKAN!$F$57:$F$150,B49)</f>
        <v>1</v>
      </c>
      <c r="K49" s="4">
        <f>COUNTIF(DATA_SURAT_PELANTIKAN!$G$57:$G$150,B49)</f>
        <v>0</v>
      </c>
      <c r="L49" s="6">
        <f t="shared" si="1"/>
        <v>3</v>
      </c>
    </row>
    <row r="50" spans="1:12" ht="28.5" customHeight="1">
      <c r="A50" s="4">
        <v>46</v>
      </c>
      <c r="B50" s="7" t="s">
        <v>212</v>
      </c>
      <c r="C50" s="4">
        <f>COUNTIF(DATA_SURAT_PELANTIKAN!$D$2:$D$56,B50)</f>
        <v>0</v>
      </c>
      <c r="D50" s="4">
        <f>COUNTIF(DATA_SURAT_PELANTIKAN!$E$2:$E$56,B50)</f>
        <v>0</v>
      </c>
      <c r="E50" s="4">
        <f>COUNTIF(DATA_SURAT_PELANTIKAN!$F$2:$F$56,B50)</f>
        <v>2</v>
      </c>
      <c r="F50" s="4">
        <f>COUNTIF(DATA_SURAT_PELANTIKAN!$G$2:$G$56,B50)</f>
        <v>2</v>
      </c>
      <c r="G50" s="6">
        <f t="shared" si="0"/>
        <v>4</v>
      </c>
      <c r="H50" s="4">
        <f>COUNTIF(DATA_SURAT_PELANTIKAN!$D$57:$D$150,B50)</f>
        <v>0</v>
      </c>
      <c r="I50" s="4">
        <f>COUNTIF(DATA_SURAT_PELANTIKAN!$E$57:$E$150,B50)</f>
        <v>0</v>
      </c>
      <c r="J50" s="4">
        <f>COUNTIF(DATA_SURAT_PELANTIKAN!$F$57:$F$150,B50)</f>
        <v>0</v>
      </c>
      <c r="K50" s="4">
        <f>COUNTIF(DATA_SURAT_PELANTIKAN!$G$57:$G$150,B50)</f>
        <v>4</v>
      </c>
      <c r="L50" s="6">
        <f t="shared" si="1"/>
        <v>4</v>
      </c>
    </row>
    <row r="51" spans="1:12" ht="28.5" customHeight="1">
      <c r="A51" s="4">
        <v>47</v>
      </c>
      <c r="B51" s="7" t="s">
        <v>218</v>
      </c>
      <c r="C51" s="4">
        <f>COUNTIF(DATA_SURAT_PELANTIKAN!$D$2:$D$56,B51)</f>
        <v>1</v>
      </c>
      <c r="D51" s="4">
        <f>COUNTIF(DATA_SURAT_PELANTIKAN!$E$2:$E$56,B51)</f>
        <v>0</v>
      </c>
      <c r="E51" s="4">
        <f>COUNTIF(DATA_SURAT_PELANTIKAN!$F$2:$F$56,B51)</f>
        <v>0</v>
      </c>
      <c r="F51" s="4">
        <f>COUNTIF(DATA_SURAT_PELANTIKAN!$G$2:$G$56,B51)</f>
        <v>0</v>
      </c>
      <c r="G51" s="6">
        <f t="shared" si="0"/>
        <v>1</v>
      </c>
      <c r="H51" s="4">
        <f>COUNTIF(DATA_SURAT_PELANTIKAN!$D$57:$D$150,B51)</f>
        <v>0</v>
      </c>
      <c r="I51" s="4">
        <f>COUNTIF(DATA_SURAT_PELANTIKAN!$E$57:$E$150,B51)</f>
        <v>5</v>
      </c>
      <c r="J51" s="4">
        <f>COUNTIF(DATA_SURAT_PELANTIKAN!$F$57:$F$150,B51)</f>
        <v>0</v>
      </c>
      <c r="K51" s="4">
        <f>COUNTIF(DATA_SURAT_PELANTIKAN!$G$57:$G$150,B51)</f>
        <v>0</v>
      </c>
      <c r="L51" s="6">
        <f t="shared" si="1"/>
        <v>5</v>
      </c>
    </row>
    <row r="52" spans="1:12" ht="28.5" customHeight="1">
      <c r="A52" s="4">
        <v>48</v>
      </c>
      <c r="B52" s="7" t="s">
        <v>226</v>
      </c>
      <c r="C52" s="4">
        <f>COUNTIF(DATA_SURAT_PELANTIKAN!$D$2:$D$56,B52)</f>
        <v>0</v>
      </c>
      <c r="D52" s="4">
        <f>COUNTIF(DATA_SURAT_PELANTIKAN!$E$2:$E$56,B52)</f>
        <v>2</v>
      </c>
      <c r="E52" s="4">
        <f>COUNTIF(DATA_SURAT_PELANTIKAN!$F$2:$F$56,B52)</f>
        <v>0</v>
      </c>
      <c r="F52" s="4">
        <f>COUNTIF(DATA_SURAT_PELANTIKAN!$G$2:$G$56,B52)</f>
        <v>0</v>
      </c>
      <c r="G52" s="6">
        <f t="shared" si="0"/>
        <v>2</v>
      </c>
      <c r="H52" s="4">
        <f>COUNTIF(DATA_SURAT_PELANTIKAN!$D$57:$D$150,B52)</f>
        <v>2</v>
      </c>
      <c r="I52" s="4">
        <f>COUNTIF(DATA_SURAT_PELANTIKAN!$E$57:$E$150,B52)</f>
        <v>8</v>
      </c>
      <c r="J52" s="4">
        <f>COUNTIF(DATA_SURAT_PELANTIKAN!$F$57:$F$150,B52)</f>
        <v>0</v>
      </c>
      <c r="K52" s="4">
        <f>COUNTIF(DATA_SURAT_PELANTIKAN!$G$57:$G$150,B52)</f>
        <v>0</v>
      </c>
      <c r="L52" s="6">
        <f t="shared" si="1"/>
        <v>10</v>
      </c>
    </row>
    <row r="53" spans="1:12" ht="28.5" customHeight="1">
      <c r="A53" s="4">
        <v>49</v>
      </c>
      <c r="B53" s="7" t="s">
        <v>228</v>
      </c>
      <c r="C53" s="4">
        <f>COUNTIF(DATA_SURAT_PELANTIKAN!$D$2:$D$56,B53)</f>
        <v>0</v>
      </c>
      <c r="D53" s="4">
        <f>COUNTIF(DATA_SURAT_PELANTIKAN!$E$2:$E$56,B53)</f>
        <v>0</v>
      </c>
      <c r="E53" s="4">
        <f>COUNTIF(DATA_SURAT_PELANTIKAN!$F$2:$F$56,B53)</f>
        <v>1</v>
      </c>
      <c r="F53" s="4">
        <f>COUNTIF(DATA_SURAT_PELANTIKAN!$G$2:$G$56,B53)</f>
        <v>1</v>
      </c>
      <c r="G53" s="6">
        <f t="shared" si="0"/>
        <v>2</v>
      </c>
      <c r="H53" s="4">
        <f>COUNTIF(DATA_SURAT_PELANTIKAN!$D$57:$D$150,B53)</f>
        <v>1</v>
      </c>
      <c r="I53" s="4">
        <f>COUNTIF(DATA_SURAT_PELANTIKAN!$E$57:$E$150,B53)</f>
        <v>0</v>
      </c>
      <c r="J53" s="4">
        <f>COUNTIF(DATA_SURAT_PELANTIKAN!$F$57:$F$150,B53)</f>
        <v>3</v>
      </c>
      <c r="K53" s="4">
        <f>COUNTIF(DATA_SURAT_PELANTIKAN!$G$57:$G$150,B53)</f>
        <v>5</v>
      </c>
      <c r="L53" s="6">
        <f t="shared" si="1"/>
        <v>9</v>
      </c>
    </row>
    <row r="54" spans="1:12" ht="28.5" customHeight="1">
      <c r="A54" s="4">
        <v>50</v>
      </c>
      <c r="B54" s="5" t="s">
        <v>243</v>
      </c>
      <c r="C54" s="4">
        <f>COUNTIF(DATA_SURAT_PELANTIKAN!$D$2:$D$56,B54)</f>
        <v>1</v>
      </c>
      <c r="D54" s="4">
        <f>COUNTIF(DATA_SURAT_PELANTIKAN!$E$2:$E$56,B54)</f>
        <v>0</v>
      </c>
      <c r="E54" s="4">
        <f>COUNTIF(DATA_SURAT_PELANTIKAN!$F$2:$F$56,B54)</f>
        <v>0</v>
      </c>
      <c r="F54" s="4">
        <f>COUNTIF(DATA_SURAT_PELANTIKAN!$G$2:$G$56,B54)</f>
        <v>1</v>
      </c>
      <c r="G54" s="6">
        <f t="shared" si="0"/>
        <v>2</v>
      </c>
      <c r="H54" s="4">
        <f>COUNTIF(DATA_SURAT_PELANTIKAN!$D$57:$D$150,B54)</f>
        <v>0</v>
      </c>
      <c r="I54" s="4">
        <f>COUNTIF(DATA_SURAT_PELANTIKAN!$E$57:$E$150,B54)</f>
        <v>0</v>
      </c>
      <c r="J54" s="4">
        <f>COUNTIF(DATA_SURAT_PELANTIKAN!$F$57:$F$150,B54)</f>
        <v>0</v>
      </c>
      <c r="K54" s="4">
        <f>COUNTIF(DATA_SURAT_PELANTIKAN!$G$57:$G$150,B54)</f>
        <v>1</v>
      </c>
      <c r="L54" s="6">
        <f t="shared" si="1"/>
        <v>1</v>
      </c>
    </row>
    <row r="55" spans="1:12" ht="28.5" customHeight="1">
      <c r="A55" s="4">
        <v>51</v>
      </c>
      <c r="B55" s="8" t="s">
        <v>437</v>
      </c>
      <c r="C55" s="4">
        <f>COUNTIF(DATA_SURAT_PELANTIKAN!$D$2:$D$56,B55)</f>
        <v>0</v>
      </c>
      <c r="D55" s="4">
        <f>COUNTIF(DATA_SURAT_PELANTIKAN!$E$2:$E$56,B55)</f>
        <v>1</v>
      </c>
      <c r="E55" s="4">
        <f>COUNTIF(DATA_SURAT_PELANTIKAN!$F$2:$F$56,B55)</f>
        <v>0</v>
      </c>
      <c r="F55" s="4">
        <f>COUNTIF(DATA_SURAT_PELANTIKAN!$G$2:$G$56,B55)</f>
        <v>0</v>
      </c>
      <c r="G55" s="6">
        <f t="shared" si="0"/>
        <v>1</v>
      </c>
      <c r="H55" s="4">
        <f>COUNTIF(DATA_SURAT_PELANTIKAN!$D$57:$D$150,B55)</f>
        <v>1</v>
      </c>
      <c r="I55" s="4">
        <f>COUNTIF(DATA_SURAT_PELANTIKAN!$E$57:$E$150,B55)</f>
        <v>6</v>
      </c>
      <c r="J55" s="4">
        <f>COUNTIF(DATA_SURAT_PELANTIKAN!$F$57:$F$150,B55)</f>
        <v>0</v>
      </c>
      <c r="K55" s="4">
        <f>COUNTIF(DATA_SURAT_PELANTIKAN!$G$57:$G$150,B55)</f>
        <v>0</v>
      </c>
      <c r="L55" s="6">
        <f t="shared" si="1"/>
        <v>7</v>
      </c>
    </row>
    <row r="56" spans="1:12" s="47" customFormat="1" ht="28.5" customHeight="1">
      <c r="A56" s="48">
        <v>52</v>
      </c>
      <c r="B56" s="49" t="s">
        <v>282</v>
      </c>
      <c r="C56" s="48">
        <f>COUNTIF(DATA_SURAT_PELANTIKAN!$D$2:$D$56,B56)</f>
        <v>1</v>
      </c>
      <c r="D56" s="48">
        <f>COUNTIF(DATA_SURAT_PELANTIKAN!$E$2:$E$56,B56)</f>
        <v>0</v>
      </c>
      <c r="E56" s="48">
        <f>COUNTIF(DATA_SURAT_PELANTIKAN!$F$2:$F$56,B56)</f>
        <v>0</v>
      </c>
      <c r="F56" s="48">
        <f>COUNTIF(DATA_SURAT_PELANTIKAN!$G$2:$G$56,B56)</f>
        <v>0</v>
      </c>
      <c r="G56" s="50">
        <f t="shared" si="0"/>
        <v>1</v>
      </c>
      <c r="H56" s="48">
        <f>COUNTIF(DATA_SURAT_PELANTIKAN!$D$57:$D$150,B56)</f>
        <v>0</v>
      </c>
      <c r="I56" s="48">
        <f>COUNTIF(DATA_SURAT_PELANTIKAN!$E$57:$E$150,B56)</f>
        <v>0</v>
      </c>
      <c r="J56" s="48">
        <f>COUNTIF(DATA_SURAT_PELANTIKAN!$F$57:$F$150,B56)</f>
        <v>0</v>
      </c>
      <c r="K56" s="48">
        <f>COUNTIF(DATA_SURAT_PELANTIKAN!$G$57:$G$150,B56)</f>
        <v>0</v>
      </c>
      <c r="L56" s="50">
        <f t="shared" si="1"/>
        <v>0</v>
      </c>
    </row>
    <row r="57" spans="1:12" ht="28.5" customHeight="1">
      <c r="A57" s="4">
        <v>53</v>
      </c>
      <c r="B57" s="10" t="s">
        <v>307</v>
      </c>
      <c r="C57" s="4">
        <f>COUNTIF(DATA_SURAT_PELANTIKAN!$D$2:$D$56,B57)</f>
        <v>0</v>
      </c>
      <c r="D57" s="4">
        <f>COUNTIF(DATA_SURAT_PELANTIKAN!$E$2:$E$56,B57)</f>
        <v>1</v>
      </c>
      <c r="E57" s="4">
        <f>COUNTIF(DATA_SURAT_PELANTIKAN!$F$2:$F$56,B57)</f>
        <v>0</v>
      </c>
      <c r="F57" s="4">
        <f>COUNTIF(DATA_SURAT_PELANTIKAN!$G$2:$G$56,B57)</f>
        <v>0</v>
      </c>
      <c r="G57" s="6">
        <f t="shared" si="0"/>
        <v>1</v>
      </c>
      <c r="H57" s="4">
        <f>COUNTIF(DATA_SURAT_PELANTIKAN!$D$57:$D$150,B57)</f>
        <v>1</v>
      </c>
      <c r="I57" s="4">
        <f>COUNTIF(DATA_SURAT_PELANTIKAN!$E$57:$E$150,B57)</f>
        <v>1</v>
      </c>
      <c r="J57" s="4">
        <f>COUNTIF(DATA_SURAT_PELANTIKAN!$F$57:$F$150,B57)</f>
        <v>0</v>
      </c>
      <c r="K57" s="4">
        <f>COUNTIF(DATA_SURAT_PELANTIKAN!$G$57:$G$150,B57)</f>
        <v>0</v>
      </c>
      <c r="L57" s="6">
        <f t="shared" si="1"/>
        <v>2</v>
      </c>
    </row>
    <row r="58" spans="1:12" ht="28.5" customHeight="1">
      <c r="A58" s="4">
        <v>54</v>
      </c>
      <c r="B58" s="10" t="s">
        <v>269</v>
      </c>
      <c r="C58" s="4">
        <f>COUNTIF(DATA_SURAT_PELANTIKAN!$D$2:$D$56,B58)</f>
        <v>0</v>
      </c>
      <c r="D58" s="4">
        <f>COUNTIF(DATA_SURAT_PELANTIKAN!$E$2:$E$56,B58)</f>
        <v>0</v>
      </c>
      <c r="E58" s="4">
        <f>COUNTIF(DATA_SURAT_PELANTIKAN!$F$2:$F$56,B58)</f>
        <v>0</v>
      </c>
      <c r="F58" s="4">
        <f>COUNTIF(DATA_SURAT_PELANTIKAN!$G$2:$G$56,B58)</f>
        <v>1</v>
      </c>
      <c r="G58" s="6">
        <f t="shared" si="0"/>
        <v>1</v>
      </c>
      <c r="H58" s="4">
        <f>COUNTIF(DATA_SURAT_PELANTIKAN!$D$57:$D$150,B58)</f>
        <v>0</v>
      </c>
      <c r="I58" s="4">
        <f>COUNTIF(DATA_SURAT_PELANTIKAN!$E$57:$E$150,B58)</f>
        <v>0</v>
      </c>
      <c r="J58" s="4">
        <f>COUNTIF(DATA_SURAT_PELANTIKAN!$F$57:$F$150,B58)</f>
        <v>1</v>
      </c>
      <c r="K58" s="4">
        <f>COUNTIF(DATA_SURAT_PELANTIKAN!$G$57:$G$150,B58)</f>
        <v>2</v>
      </c>
      <c r="L58" s="6">
        <f t="shared" si="1"/>
        <v>3</v>
      </c>
    </row>
    <row r="59" spans="1:12" ht="28.5" customHeight="1">
      <c r="A59" s="4">
        <v>55</v>
      </c>
      <c r="B59" s="7" t="s">
        <v>321</v>
      </c>
      <c r="C59" s="4">
        <f>COUNTIF(DATA_SURAT_PELANTIKAN!$D$2:$D$56,B59)</f>
        <v>1</v>
      </c>
      <c r="D59" s="4">
        <f>COUNTIF(DATA_SURAT_PELANTIKAN!$E$2:$E$56,B59)</f>
        <v>0</v>
      </c>
      <c r="E59" s="4">
        <f>COUNTIF(DATA_SURAT_PELANTIKAN!$F$2:$F$56,B59)</f>
        <v>0</v>
      </c>
      <c r="F59" s="4">
        <f>COUNTIF(DATA_SURAT_PELANTIKAN!$G$2:$G$56,B59)</f>
        <v>0</v>
      </c>
      <c r="G59" s="6">
        <f t="shared" si="0"/>
        <v>1</v>
      </c>
      <c r="H59" s="4">
        <f>COUNTIF(DATA_SURAT_PELANTIKAN!$D$57:$D$150,B59)</f>
        <v>0</v>
      </c>
      <c r="I59" s="4">
        <f>COUNTIF(DATA_SURAT_PELANTIKAN!$E$57:$E$150,B59)</f>
        <v>1</v>
      </c>
      <c r="J59" s="4">
        <f>COUNTIF(DATA_SURAT_PELANTIKAN!$F$57:$F$150,B59)</f>
        <v>0</v>
      </c>
      <c r="K59" s="4">
        <f>COUNTIF(DATA_SURAT_PELANTIKAN!$G$57:$G$150,B59)</f>
        <v>0</v>
      </c>
      <c r="L59" s="6">
        <f t="shared" si="1"/>
        <v>1</v>
      </c>
    </row>
    <row r="60" spans="1:12" ht="28.5" customHeight="1">
      <c r="A60" s="4">
        <v>56</v>
      </c>
      <c r="B60" s="7" t="s">
        <v>371</v>
      </c>
      <c r="C60" s="4">
        <f>COUNTIF(DATA_SURAT_PELANTIKAN!$D$2:$D$56,B60)</f>
        <v>1</v>
      </c>
      <c r="D60" s="4">
        <f>COUNTIF(DATA_SURAT_PELANTIKAN!$E$2:$E$56,B60)</f>
        <v>0</v>
      </c>
      <c r="E60" s="4">
        <f>COUNTIF(DATA_SURAT_PELANTIKAN!$F$2:$F$56,B60)</f>
        <v>0</v>
      </c>
      <c r="F60" s="4">
        <f>COUNTIF(DATA_SURAT_PELANTIKAN!$G$2:$G$56,B60)</f>
        <v>0</v>
      </c>
      <c r="G60" s="6">
        <f t="shared" si="0"/>
        <v>1</v>
      </c>
      <c r="H60" s="4">
        <f>COUNTIF(DATA_SURAT_PELANTIKAN!$D$57:$D$150,B60)</f>
        <v>1</v>
      </c>
      <c r="I60" s="4">
        <f>COUNTIF(DATA_SURAT_PELANTIKAN!$E$57:$E$150,B60)</f>
        <v>0</v>
      </c>
      <c r="J60" s="4">
        <f>COUNTIF(DATA_SURAT_PELANTIKAN!$F$57:$F$150,B60)</f>
        <v>1</v>
      </c>
      <c r="K60" s="4">
        <f>COUNTIF(DATA_SURAT_PELANTIKAN!$G$57:$G$150,B60)</f>
        <v>0</v>
      </c>
      <c r="L60" s="6">
        <f t="shared" si="1"/>
        <v>2</v>
      </c>
    </row>
    <row r="61" spans="1:12" ht="28.5" customHeight="1">
      <c r="A61" s="4">
        <v>57</v>
      </c>
      <c r="B61" s="7" t="s">
        <v>219</v>
      </c>
      <c r="C61" s="4">
        <f>COUNTIF(DATA_SURAT_PELANTIKAN!$D$2:$D$56,B61)</f>
        <v>2</v>
      </c>
      <c r="D61" s="4">
        <f>COUNTIF(DATA_SURAT_PELANTIKAN!$E$2:$E$56,B61)</f>
        <v>1</v>
      </c>
      <c r="E61" s="4">
        <f>COUNTIF(DATA_SURAT_PELANTIKAN!$F$2:$F$56,B61)</f>
        <v>0</v>
      </c>
      <c r="F61" s="4">
        <f>COUNTIF(DATA_SURAT_PELANTIKAN!$G$2:$G$56,B61)</f>
        <v>1</v>
      </c>
      <c r="G61" s="6">
        <f t="shared" si="0"/>
        <v>4</v>
      </c>
      <c r="H61" s="4">
        <f>COUNTIF(DATA_SURAT_PELANTIKAN!$D$57:$D$150,B61)</f>
        <v>4</v>
      </c>
      <c r="I61" s="4">
        <f>COUNTIF(DATA_SURAT_PELANTIKAN!$E$57:$E$150,B61)</f>
        <v>1</v>
      </c>
      <c r="J61" s="4">
        <f>COUNTIF(DATA_SURAT_PELANTIKAN!$F$57:$F$150,B61)</f>
        <v>0</v>
      </c>
      <c r="K61" s="4">
        <f>COUNTIF(DATA_SURAT_PELANTIKAN!$G$57:$G$150,B61)</f>
        <v>1</v>
      </c>
      <c r="L61" s="6">
        <f t="shared" si="1"/>
        <v>6</v>
      </c>
    </row>
    <row r="62" spans="1:12" ht="28.5" customHeight="1">
      <c r="A62" s="44">
        <v>58</v>
      </c>
      <c r="B62" s="51" t="s">
        <v>283</v>
      </c>
      <c r="C62" s="44">
        <f>COUNTIF(DATA_SURAT_PELANTIKAN!$D$2:$D$56,B62)</f>
        <v>0</v>
      </c>
      <c r="D62" s="44">
        <f>COUNTIF(DATA_SURAT_PELANTIKAN!$E$2:$E$56,B62)</f>
        <v>0</v>
      </c>
      <c r="E62" s="44">
        <f>COUNTIF(DATA_SURAT_PELANTIKAN!$F$2:$F$56,B62)</f>
        <v>1</v>
      </c>
      <c r="F62" s="44">
        <f>COUNTIF(DATA_SURAT_PELANTIKAN!$G$2:$G$56,B62)</f>
        <v>0</v>
      </c>
      <c r="G62" s="46">
        <f t="shared" si="0"/>
        <v>1</v>
      </c>
      <c r="H62" s="44">
        <f>COUNTIF(DATA_SURAT_PELANTIKAN!$D$57:$D$150,B62)</f>
        <v>0</v>
      </c>
      <c r="I62" s="44">
        <f>COUNTIF(DATA_SURAT_PELANTIKAN!$E$57:$E$150,B62)</f>
        <v>0</v>
      </c>
      <c r="J62" s="44">
        <f>COUNTIF(DATA_SURAT_PELANTIKAN!$F$57:$F$150,B62)</f>
        <v>0</v>
      </c>
      <c r="K62" s="44">
        <f>COUNTIF(DATA_SURAT_PELANTIKAN!$G$57:$G$150,B62)</f>
        <v>0</v>
      </c>
      <c r="L62" s="46">
        <f t="shared" si="1"/>
        <v>0</v>
      </c>
    </row>
    <row r="63" spans="1:12" ht="28.5" customHeight="1">
      <c r="A63" s="4">
        <v>59</v>
      </c>
      <c r="B63" s="9" t="s">
        <v>398</v>
      </c>
      <c r="C63" s="4">
        <f>COUNTIF(DATA_SURAT_PELANTIKAN!$D$2:$D$56,B63)</f>
        <v>0</v>
      </c>
      <c r="D63" s="4">
        <f>COUNTIF(DATA_SURAT_PELANTIKAN!$E$2:$E$56,B63)</f>
        <v>1</v>
      </c>
      <c r="E63" s="4">
        <f>COUNTIF(DATA_SURAT_PELANTIKAN!$F$2:$F$56,B63)</f>
        <v>0</v>
      </c>
      <c r="F63" s="4">
        <f>COUNTIF(DATA_SURAT_PELANTIKAN!$G$2:$G$56,B63)</f>
        <v>0</v>
      </c>
      <c r="G63" s="6">
        <f t="shared" si="0"/>
        <v>1</v>
      </c>
      <c r="H63" s="4">
        <f>COUNTIF(DATA_SURAT_PELANTIKAN!$D$57:$D$150,B63)</f>
        <v>2</v>
      </c>
      <c r="I63" s="4">
        <f>COUNTIF(DATA_SURAT_PELANTIKAN!$E$57:$E$150,B63)</f>
        <v>1</v>
      </c>
      <c r="J63" s="4">
        <f>COUNTIF(DATA_SURAT_PELANTIKAN!$F$57:$F$150,B63)</f>
        <v>0</v>
      </c>
      <c r="K63" s="4">
        <f>COUNTIF(DATA_SURAT_PELANTIKAN!$G$57:$G$150,B63)</f>
        <v>1</v>
      </c>
      <c r="L63" s="6">
        <f t="shared" si="1"/>
        <v>4</v>
      </c>
    </row>
    <row r="64" spans="1:12" ht="28.5" customHeight="1">
      <c r="A64" s="4">
        <v>60</v>
      </c>
      <c r="B64" s="7" t="s">
        <v>268</v>
      </c>
      <c r="C64" s="4">
        <f>COUNTIF(DATA_SURAT_PELANTIKAN!$D$2:$D$56,B64)</f>
        <v>0</v>
      </c>
      <c r="D64" s="4">
        <f>COUNTIF(DATA_SURAT_PELANTIKAN!$E$2:$E$56,B64)</f>
        <v>1</v>
      </c>
      <c r="E64" s="4">
        <f>COUNTIF(DATA_SURAT_PELANTIKAN!$F$2:$F$56,B64)</f>
        <v>0</v>
      </c>
      <c r="F64" s="4">
        <f>COUNTIF(DATA_SURAT_PELANTIKAN!$G$2:$G$56,B64)</f>
        <v>0</v>
      </c>
      <c r="G64" s="6">
        <f t="shared" si="0"/>
        <v>1</v>
      </c>
      <c r="H64" s="4">
        <f>COUNTIF(DATA_SURAT_PELANTIKAN!$D$57:$D$150,B64)</f>
        <v>3</v>
      </c>
      <c r="I64" s="4">
        <f>COUNTIF(DATA_SURAT_PELANTIKAN!$E$57:$E$150,B64)</f>
        <v>1</v>
      </c>
      <c r="J64" s="4">
        <f>COUNTIF(DATA_SURAT_PELANTIKAN!$F$57:$F$150,B64)</f>
        <v>0</v>
      </c>
      <c r="K64" s="4">
        <f>COUNTIF(DATA_SURAT_PELANTIKAN!$G$57:$G$150,B64)</f>
        <v>1</v>
      </c>
      <c r="L64" s="6">
        <f t="shared" si="1"/>
        <v>5</v>
      </c>
    </row>
    <row r="65" spans="1:26" ht="28.5" customHeight="1">
      <c r="A65" s="4">
        <v>61</v>
      </c>
      <c r="B65" s="5" t="s">
        <v>408</v>
      </c>
      <c r="C65" s="4">
        <f>COUNTIF(DATA_SURAT_PELANTIKAN!$D$2:$D$56,B65)</f>
        <v>0</v>
      </c>
      <c r="D65" s="4">
        <f>COUNTIF(DATA_SURAT_PELANTIKAN!$E$2:$E$56,B65)</f>
        <v>1</v>
      </c>
      <c r="E65" s="4">
        <f>COUNTIF(DATA_SURAT_PELANTIKAN!$F$2:$F$56,B65)</f>
        <v>0</v>
      </c>
      <c r="F65" s="4">
        <f>COUNTIF(DATA_SURAT_PELANTIKAN!$G$2:$G$56,B65)</f>
        <v>0</v>
      </c>
      <c r="G65" s="6">
        <f t="shared" si="0"/>
        <v>1</v>
      </c>
      <c r="H65" s="4">
        <f>COUNTIF(DATA_SURAT_PELANTIKAN!$D$57:$D$150,B65)</f>
        <v>0</v>
      </c>
      <c r="I65" s="4">
        <f>COUNTIF(DATA_SURAT_PELANTIKAN!$E$57:$E$150,B65)</f>
        <v>1</v>
      </c>
      <c r="J65" s="4">
        <f>COUNTIF(DATA_SURAT_PELANTIKAN!$F$57:$F$150,B65)</f>
        <v>0</v>
      </c>
      <c r="K65" s="4">
        <f>COUNTIF(DATA_SURAT_PELANTIKAN!$G$57:$G$150,B65)</f>
        <v>0</v>
      </c>
      <c r="L65" s="6">
        <f t="shared" si="1"/>
        <v>1</v>
      </c>
    </row>
    <row r="66" spans="1:26" ht="28.5" customHeight="1">
      <c r="A66" s="4">
        <v>62</v>
      </c>
      <c r="B66" s="5" t="s">
        <v>458</v>
      </c>
      <c r="C66" s="4">
        <f>COUNTIF(DATA_SURAT_PELANTIKAN!$D$2:$D$56,B66)</f>
        <v>1</v>
      </c>
      <c r="D66" s="4">
        <f>COUNTIF(DATA_SURAT_PELANTIKAN!$E$2:$E$56,B66)</f>
        <v>0</v>
      </c>
      <c r="E66" s="4">
        <f>COUNTIF(DATA_SURAT_PELANTIKAN!$F$2:$F$56,B66)</f>
        <v>0</v>
      </c>
      <c r="F66" s="4">
        <f>COUNTIF(DATA_SURAT_PELANTIKAN!$G$2:$G$56,B66)</f>
        <v>1</v>
      </c>
      <c r="G66" s="6">
        <f t="shared" si="0"/>
        <v>2</v>
      </c>
      <c r="H66" s="4">
        <f>COUNTIF(DATA_SURAT_PELANTIKAN!$D$57:$D$150,B66)</f>
        <v>1</v>
      </c>
      <c r="I66" s="4">
        <f>COUNTIF(DATA_SURAT_PELANTIKAN!$E$57:$E$150,B66)</f>
        <v>0</v>
      </c>
      <c r="J66" s="4">
        <f>COUNTIF(DATA_SURAT_PELANTIKAN!$F$57:$F$150,B66)</f>
        <v>0</v>
      </c>
      <c r="K66" s="4">
        <f>COUNTIF(DATA_SURAT_PELANTIKAN!$G$57:$G$150,B66)</f>
        <v>4</v>
      </c>
      <c r="L66" s="6">
        <f t="shared" si="1"/>
        <v>5</v>
      </c>
    </row>
    <row r="67" spans="1:26" ht="28.5" customHeight="1">
      <c r="A67" s="4">
        <v>63</v>
      </c>
      <c r="B67" s="5" t="s">
        <v>418</v>
      </c>
      <c r="C67" s="4">
        <f>COUNTIF(DATA_SURAT_PELANTIKAN!$D$2:$D$56,B67)</f>
        <v>0</v>
      </c>
      <c r="D67" s="4">
        <f>COUNTIF(DATA_SURAT_PELANTIKAN!$E$2:$E$56,B67)</f>
        <v>3</v>
      </c>
      <c r="E67" s="4">
        <f>COUNTIF(DATA_SURAT_PELANTIKAN!$F$2:$F$56,B67)</f>
        <v>0</v>
      </c>
      <c r="F67" s="4">
        <f>COUNTIF(DATA_SURAT_PELANTIKAN!$G$2:$G$56,B67)</f>
        <v>0</v>
      </c>
      <c r="G67" s="6">
        <f t="shared" si="0"/>
        <v>3</v>
      </c>
      <c r="H67" s="4">
        <f>COUNTIF(DATA_SURAT_PELANTIKAN!$D$57:$D$150,B67)</f>
        <v>0</v>
      </c>
      <c r="I67" s="4">
        <f>COUNTIF(DATA_SURAT_PELANTIKAN!$E$57:$E$150,B67)</f>
        <v>3</v>
      </c>
      <c r="J67" s="4">
        <f>COUNTIF(DATA_SURAT_PELANTIKAN!$F$57:$F$150,B67)</f>
        <v>0</v>
      </c>
      <c r="K67" s="4">
        <f>COUNTIF(DATA_SURAT_PELANTIKAN!$G$57:$G$150,B67)</f>
        <v>0</v>
      </c>
      <c r="L67" s="6">
        <f t="shared" si="1"/>
        <v>3</v>
      </c>
    </row>
    <row r="68" spans="1:26" ht="28.5" customHeight="1">
      <c r="A68" s="4">
        <v>64</v>
      </c>
      <c r="B68" s="9" t="s">
        <v>581</v>
      </c>
      <c r="C68" s="4">
        <f>COUNTIF(DATA_SURAT_PELANTIKAN!$D$2:$D$56,B68)</f>
        <v>0</v>
      </c>
      <c r="D68" s="4">
        <f>COUNTIF(DATA_SURAT_PELANTIKAN!$E$2:$E$56,B68)</f>
        <v>0</v>
      </c>
      <c r="E68" s="4">
        <f>COUNTIF(DATA_SURAT_PELANTIKAN!$F$2:$F$56,B68)</f>
        <v>0</v>
      </c>
      <c r="F68" s="4">
        <f>COUNTIF(DATA_SURAT_PELANTIKAN!$G$2:$G$56,B68)</f>
        <v>0</v>
      </c>
      <c r="G68" s="6">
        <f t="shared" si="0"/>
        <v>0</v>
      </c>
      <c r="H68" s="4">
        <f>COUNTIF(DATA_SURAT_PELANTIKAN!$D$57:$D$150,B68)</f>
        <v>1</v>
      </c>
      <c r="I68" s="4">
        <f>COUNTIF(DATA_SURAT_PELANTIKAN!$E$57:$E$150,B68)</f>
        <v>0</v>
      </c>
      <c r="J68" s="4">
        <f>COUNTIF(DATA_SURAT_PELANTIKAN!$F$57:$F$150,B68)</f>
        <v>1</v>
      </c>
      <c r="K68" s="4">
        <f>COUNTIF(DATA_SURAT_PELANTIKAN!$G$57:$G$150,B68)</f>
        <v>2</v>
      </c>
      <c r="L68" s="6">
        <f t="shared" si="1"/>
        <v>4</v>
      </c>
    </row>
    <row r="69" spans="1:26" ht="28.5" customHeight="1">
      <c r="A69" s="4">
        <v>65</v>
      </c>
      <c r="B69" s="7" t="s">
        <v>138</v>
      </c>
      <c r="C69" s="4">
        <f>COUNTIF(DATA_SURAT_PELANTIKAN!$D$2:$D$56,B69)</f>
        <v>0</v>
      </c>
      <c r="D69" s="4">
        <f>COUNTIF(DATA_SURAT_PELANTIKAN!$E$2:$E$56,B69)</f>
        <v>1</v>
      </c>
      <c r="E69" s="4">
        <f>COUNTIF(DATA_SURAT_PELANTIKAN!$F$2:$F$56,B69)</f>
        <v>0</v>
      </c>
      <c r="F69" s="4">
        <f>COUNTIF(DATA_SURAT_PELANTIKAN!$G$2:$G$56,B69)</f>
        <v>0</v>
      </c>
      <c r="G69" s="6">
        <f t="shared" si="0"/>
        <v>1</v>
      </c>
      <c r="H69" s="4">
        <f>COUNTIF(DATA_SURAT_PELANTIKAN!$D$57:$D$150,B69)</f>
        <v>0</v>
      </c>
      <c r="I69" s="4">
        <f>COUNTIF(DATA_SURAT_PELANTIKAN!$E$57:$E$150,B69)</f>
        <v>1</v>
      </c>
      <c r="J69" s="4">
        <f>COUNTIF(DATA_SURAT_PELANTIKAN!$F$57:$F$150,B69)</f>
        <v>0</v>
      </c>
      <c r="K69" s="4">
        <f>COUNTIF(DATA_SURAT_PELANTIKAN!$G$57:$G$150,B69)</f>
        <v>0</v>
      </c>
      <c r="L69" s="6">
        <f t="shared" si="1"/>
        <v>1</v>
      </c>
    </row>
    <row r="70" spans="1:26" ht="28.5" customHeight="1">
      <c r="A70" s="4">
        <v>66</v>
      </c>
      <c r="B70" s="7" t="s">
        <v>142</v>
      </c>
      <c r="C70" s="4">
        <f>COUNTIF(DATA_SURAT_PELANTIKAN!$D$2:$D$56,B70)</f>
        <v>0</v>
      </c>
      <c r="D70" s="4">
        <f>COUNTIF(DATA_SURAT_PELANTIKAN!$E$2:$E$56,B70)</f>
        <v>1</v>
      </c>
      <c r="E70" s="4">
        <f>COUNTIF(DATA_SURAT_PELANTIKAN!$F$2:$F$56,B70)</f>
        <v>0</v>
      </c>
      <c r="F70" s="4">
        <f>COUNTIF(DATA_SURAT_PELANTIKAN!$G$2:$G$56,B70)</f>
        <v>0</v>
      </c>
      <c r="G70" s="6">
        <f t="shared" si="0"/>
        <v>1</v>
      </c>
      <c r="H70" s="4">
        <f>COUNTIF(DATA_SURAT_PELANTIKAN!$D$57:$D$150,B70)</f>
        <v>0</v>
      </c>
      <c r="I70" s="4">
        <f>COUNTIF(DATA_SURAT_PELANTIKAN!$E$57:$E$150,B70)</f>
        <v>2</v>
      </c>
      <c r="J70" s="4">
        <f>COUNTIF(DATA_SURAT_PELANTIKAN!$F$57:$F$150,B70)</f>
        <v>0</v>
      </c>
      <c r="K70" s="4">
        <f>COUNTIF(DATA_SURAT_PELANTIKAN!$G$57:$G$150,B70)</f>
        <v>0</v>
      </c>
      <c r="L70" s="6">
        <f t="shared" si="1"/>
        <v>2</v>
      </c>
    </row>
    <row r="71" spans="1:26" ht="28.5" customHeight="1">
      <c r="A71" s="4">
        <v>67</v>
      </c>
      <c r="B71" s="7" t="s">
        <v>184</v>
      </c>
      <c r="C71" s="4">
        <f>COUNTIF(DATA_SURAT_PELANTIKAN!$D$2:$D$56,B71)</f>
        <v>0</v>
      </c>
      <c r="D71" s="4">
        <f>COUNTIF(DATA_SURAT_PELANTIKAN!$E$2:$E$56,B71)</f>
        <v>3</v>
      </c>
      <c r="E71" s="4">
        <f>COUNTIF(DATA_SURAT_PELANTIKAN!$F$2:$F$56,B71)</f>
        <v>0</v>
      </c>
      <c r="F71" s="4">
        <f>COUNTIF(DATA_SURAT_PELANTIKAN!$G$2:$G$56,B71)</f>
        <v>0</v>
      </c>
      <c r="G71" s="6">
        <f t="shared" si="0"/>
        <v>3</v>
      </c>
      <c r="H71" s="4">
        <f>COUNTIF(DATA_SURAT_PELANTIKAN!$D$57:$D$150,B71)</f>
        <v>0</v>
      </c>
      <c r="I71" s="4">
        <f>COUNTIF(DATA_SURAT_PELANTIKAN!$E$57:$E$150,B71)</f>
        <v>2</v>
      </c>
      <c r="J71" s="4">
        <f>COUNTIF(DATA_SURAT_PELANTIKAN!$F$57:$F$150,B71)</f>
        <v>0</v>
      </c>
      <c r="K71" s="4">
        <f>COUNTIF(DATA_SURAT_PELANTIKAN!$G$57:$G$150,B71)</f>
        <v>0</v>
      </c>
      <c r="L71" s="6">
        <f t="shared" si="1"/>
        <v>2</v>
      </c>
    </row>
    <row r="72" spans="1:26" ht="28.5" customHeight="1">
      <c r="A72" s="4">
        <v>68</v>
      </c>
      <c r="B72" s="7" t="s">
        <v>936</v>
      </c>
      <c r="C72" s="4">
        <f>COUNTIF(DATA_SURAT_PELANTIKAN!$D$2:$D$56,B72)</f>
        <v>0</v>
      </c>
      <c r="D72" s="4">
        <f>COUNTIF(DATA_SURAT_PELANTIKAN!$E$2:$E$56,B72)</f>
        <v>1</v>
      </c>
      <c r="E72" s="4">
        <f>COUNTIF(DATA_SURAT_PELANTIKAN!$F$2:$F$56,B72)</f>
        <v>0</v>
      </c>
      <c r="F72" s="4">
        <f>COUNTIF(DATA_SURAT_PELANTIKAN!$G$2:$G$56,B72)</f>
        <v>0</v>
      </c>
      <c r="G72" s="6">
        <f t="shared" si="0"/>
        <v>1</v>
      </c>
      <c r="H72" s="4">
        <f>COUNTIF(DATA_SURAT_PELANTIKAN!$D$57:$D$150,B72)</f>
        <v>0</v>
      </c>
      <c r="I72" s="4">
        <f>COUNTIF(DATA_SURAT_PELANTIKAN!$E$57:$E$150,B72)</f>
        <v>1</v>
      </c>
      <c r="J72" s="4">
        <f>COUNTIF(DATA_SURAT_PELANTIKAN!$F$57:$F$150,B72)</f>
        <v>0</v>
      </c>
      <c r="K72" s="4">
        <f>COUNTIF(DATA_SURAT_PELANTIKAN!$G$57:$G$150,B72)</f>
        <v>0</v>
      </c>
      <c r="L72" s="6">
        <f t="shared" si="1"/>
        <v>1</v>
      </c>
    </row>
    <row r="73" spans="1:26" ht="28.5" customHeight="1">
      <c r="A73" s="4">
        <v>69</v>
      </c>
      <c r="B73" s="7" t="s">
        <v>198</v>
      </c>
      <c r="C73" s="4">
        <f>COUNTIF(DATA_SURAT_PELANTIKAN!$D$2:$D$56,B73)</f>
        <v>0</v>
      </c>
      <c r="D73" s="4">
        <f>COUNTIF(DATA_SURAT_PELANTIKAN!$E$2:$E$56,B73)</f>
        <v>2</v>
      </c>
      <c r="E73" s="4">
        <f>COUNTIF(DATA_SURAT_PELANTIKAN!$F$2:$F$56,B73)</f>
        <v>0</v>
      </c>
      <c r="F73" s="4">
        <f>COUNTIF(DATA_SURAT_PELANTIKAN!$G$2:$G$56,B73)</f>
        <v>0</v>
      </c>
      <c r="G73" s="6">
        <f t="shared" si="0"/>
        <v>2</v>
      </c>
      <c r="H73" s="4">
        <f>COUNTIF(DATA_SURAT_PELANTIKAN!$D$57:$D$150,B73)</f>
        <v>0</v>
      </c>
      <c r="I73" s="4">
        <f>COUNTIF(DATA_SURAT_PELANTIKAN!$E$57:$E$150,B73)</f>
        <v>0</v>
      </c>
      <c r="J73" s="4">
        <f>COUNTIF(DATA_SURAT_PELANTIKAN!$F$57:$F$150,B73)</f>
        <v>0</v>
      </c>
      <c r="K73" s="4">
        <f>COUNTIF(DATA_SURAT_PELANTIKAN!$G$57:$G$150,B73)</f>
        <v>0</v>
      </c>
      <c r="L73" s="6">
        <f t="shared" si="1"/>
        <v>0</v>
      </c>
    </row>
    <row r="74" spans="1:26" ht="28.5" customHeight="1">
      <c r="A74" s="4">
        <v>70</v>
      </c>
      <c r="B74" s="7" t="s">
        <v>342</v>
      </c>
      <c r="C74" s="4">
        <f>COUNTIF(DATA_SURAT_PELANTIKAN!$D$2:$D$56,B74)</f>
        <v>0</v>
      </c>
      <c r="D74" s="4">
        <f>COUNTIF(DATA_SURAT_PELANTIKAN!$E$2:$E$56,B74)</f>
        <v>2</v>
      </c>
      <c r="E74" s="4">
        <f>COUNTIF(DATA_SURAT_PELANTIKAN!$F$2:$F$56,B74)</f>
        <v>0</v>
      </c>
      <c r="F74" s="4">
        <f>COUNTIF(DATA_SURAT_PELANTIKAN!$G$2:$G$56,B74)</f>
        <v>0</v>
      </c>
      <c r="G74" s="6">
        <f t="shared" si="0"/>
        <v>2</v>
      </c>
      <c r="H74" s="4">
        <f>COUNTIF(DATA_SURAT_PELANTIKAN!$D$57:$D$150,B74)</f>
        <v>0</v>
      </c>
      <c r="I74" s="4">
        <f>COUNTIF(DATA_SURAT_PELANTIKAN!$E$57:$E$150,B74)</f>
        <v>0</v>
      </c>
      <c r="J74" s="4">
        <f>COUNTIF(DATA_SURAT_PELANTIKAN!$F$57:$F$150,B74)</f>
        <v>0</v>
      </c>
      <c r="K74" s="4">
        <f>COUNTIF(DATA_SURAT_PELANTIKAN!$G$57:$G$150,B74)</f>
        <v>0</v>
      </c>
      <c r="L74" s="6">
        <f t="shared" si="1"/>
        <v>0</v>
      </c>
    </row>
    <row r="75" spans="1:26" ht="28.5" customHeight="1">
      <c r="A75" s="4">
        <v>71</v>
      </c>
      <c r="B75" s="7" t="s">
        <v>252</v>
      </c>
      <c r="C75" s="4">
        <f>COUNTIF(DATA_SURAT_PELANTIKAN!$D$2:$D$56,B75)</f>
        <v>0</v>
      </c>
      <c r="D75" s="4">
        <f>COUNTIF(DATA_SURAT_PELANTIKAN!$E$2:$E$56,B75)</f>
        <v>1</v>
      </c>
      <c r="E75" s="4">
        <f>COUNTIF(DATA_SURAT_PELANTIKAN!$F$2:$F$56,B75)</f>
        <v>0</v>
      </c>
      <c r="F75" s="4">
        <f>COUNTIF(DATA_SURAT_PELANTIKAN!$G$2:$G$56,B75)</f>
        <v>0</v>
      </c>
      <c r="G75" s="6">
        <f t="shared" si="0"/>
        <v>1</v>
      </c>
      <c r="H75" s="4">
        <f>COUNTIF(DATA_SURAT_PELANTIKAN!$D$57:$D$150,B75)</f>
        <v>0</v>
      </c>
      <c r="I75" s="4">
        <f>COUNTIF(DATA_SURAT_PELANTIKAN!$E$57:$E$150,B75)</f>
        <v>0</v>
      </c>
      <c r="J75" s="4">
        <f>COUNTIF(DATA_SURAT_PELANTIKAN!$F$57:$F$150,B75)</f>
        <v>0</v>
      </c>
      <c r="K75" s="4">
        <f>COUNTIF(DATA_SURAT_PELANTIKAN!$G$57:$G$150,B75)</f>
        <v>0</v>
      </c>
      <c r="L75" s="6">
        <f t="shared" si="1"/>
        <v>0</v>
      </c>
    </row>
    <row r="76" spans="1:26" ht="28.5" customHeight="1">
      <c r="A76" s="4">
        <v>72</v>
      </c>
      <c r="B76" s="8" t="s">
        <v>293</v>
      </c>
      <c r="C76" s="4">
        <f>COUNTIF(DATA_SURAT_PELANTIKAN!$D$2:$D$56,B76)</f>
        <v>0</v>
      </c>
      <c r="D76" s="4">
        <f>COUNTIF(DATA_SURAT_PELANTIKAN!$E$2:$E$56,B76)</f>
        <v>1</v>
      </c>
      <c r="E76" s="4">
        <f>COUNTIF(DATA_SURAT_PELANTIKAN!$F$2:$F$56,B76)</f>
        <v>0</v>
      </c>
      <c r="F76" s="4">
        <f>COUNTIF(DATA_SURAT_PELANTIKAN!$G$2:$G$56,B76)</f>
        <v>0</v>
      </c>
      <c r="G76" s="6">
        <f t="shared" si="0"/>
        <v>1</v>
      </c>
      <c r="H76" s="4">
        <f>COUNTIF(DATA_SURAT_PELANTIKAN!$D$57:$D$150,B76)</f>
        <v>0</v>
      </c>
      <c r="I76" s="4">
        <f>COUNTIF(DATA_SURAT_PELANTIKAN!$E$57:$E$150,B76)</f>
        <v>1</v>
      </c>
      <c r="J76" s="4">
        <f>COUNTIF(DATA_SURAT_PELANTIKAN!$F$57:$F$150,B76)</f>
        <v>0</v>
      </c>
      <c r="K76" s="4">
        <f>COUNTIF(DATA_SURAT_PELANTIKAN!$G$57:$G$150,B76)</f>
        <v>0</v>
      </c>
      <c r="L76" s="6">
        <f t="shared" si="1"/>
        <v>1</v>
      </c>
    </row>
    <row r="77" spans="1:26" ht="28.5" customHeight="1">
      <c r="A77" s="4">
        <v>73</v>
      </c>
      <c r="B77" s="10" t="s">
        <v>322</v>
      </c>
      <c r="C77" s="4">
        <f>COUNTIF(DATA_SURAT_PELANTIKAN!$D$2:$D$56,B77)</f>
        <v>0</v>
      </c>
      <c r="D77" s="4">
        <f>COUNTIF(DATA_SURAT_PELANTIKAN!$E$2:$E$56,B77)</f>
        <v>1</v>
      </c>
      <c r="E77" s="4">
        <f>COUNTIF(DATA_SURAT_PELANTIKAN!$F$2:$F$56,B77)</f>
        <v>0</v>
      </c>
      <c r="F77" s="4">
        <f>COUNTIF(DATA_SURAT_PELANTIKAN!$G$2:$G$56,B77)</f>
        <v>0</v>
      </c>
      <c r="G77" s="6">
        <f t="shared" si="0"/>
        <v>1</v>
      </c>
      <c r="H77" s="4">
        <f>COUNTIF(DATA_SURAT_PELANTIKAN!$D$57:$D$150,B77)</f>
        <v>0</v>
      </c>
      <c r="I77" s="4">
        <f>COUNTIF(DATA_SURAT_PELANTIKAN!$E$57:$E$150,B77)</f>
        <v>1</v>
      </c>
      <c r="J77" s="4">
        <f>COUNTIF(DATA_SURAT_PELANTIKAN!$F$57:$F$150,B77)</f>
        <v>0</v>
      </c>
      <c r="K77" s="4">
        <f>COUNTIF(DATA_SURAT_PELANTIKAN!$G$57:$G$150,B77)</f>
        <v>0</v>
      </c>
      <c r="L77" s="6">
        <f t="shared" si="1"/>
        <v>1</v>
      </c>
    </row>
    <row r="78" spans="1:26" ht="28.5" customHeight="1">
      <c r="A78" s="4">
        <v>74</v>
      </c>
      <c r="B78" s="8" t="s">
        <v>329</v>
      </c>
      <c r="C78" s="4">
        <f>COUNTIF(DATA_SURAT_PELANTIKAN!$D$2:$D$56,B78)</f>
        <v>0</v>
      </c>
      <c r="D78" s="4">
        <f>COUNTIF(DATA_SURAT_PELANTIKAN!$E$2:$E$56,B78)</f>
        <v>2</v>
      </c>
      <c r="E78" s="4">
        <f>COUNTIF(DATA_SURAT_PELANTIKAN!$F$2:$F$56,B78)</f>
        <v>0</v>
      </c>
      <c r="F78" s="4">
        <f>COUNTIF(DATA_SURAT_PELANTIKAN!$G$2:$G$56,B78)</f>
        <v>0</v>
      </c>
      <c r="G78" s="6">
        <f t="shared" si="0"/>
        <v>2</v>
      </c>
      <c r="H78" s="4">
        <f>COUNTIF(DATA_SURAT_PELANTIKAN!$D$57:$D$150,B78)</f>
        <v>0</v>
      </c>
      <c r="I78" s="4">
        <f>COUNTIF(DATA_SURAT_PELANTIKAN!$E$57:$E$150,B78)</f>
        <v>3</v>
      </c>
      <c r="J78" s="4">
        <f>COUNTIF(DATA_SURAT_PELANTIKAN!$F$57:$F$150,B78)</f>
        <v>0</v>
      </c>
      <c r="K78" s="4">
        <f>COUNTIF(DATA_SURAT_PELANTIKAN!$G$57:$G$150,B78)</f>
        <v>0</v>
      </c>
      <c r="L78" s="6">
        <f t="shared" si="1"/>
        <v>3</v>
      </c>
    </row>
    <row r="79" spans="1:26" s="53" customFormat="1" ht="28.5" customHeight="1">
      <c r="A79" s="41">
        <v>75</v>
      </c>
      <c r="B79" s="54" t="s">
        <v>284</v>
      </c>
      <c r="C79" s="55">
        <f>COUNTIF(DATA_SURAT_PELANTIKAN!$D$2:$D$56,B79)</f>
        <v>0</v>
      </c>
      <c r="D79" s="55">
        <f>COUNTIF(DATA_SURAT_PELANTIKAN!$E$2:$E$56,B79)</f>
        <v>0</v>
      </c>
      <c r="E79" s="55">
        <f>COUNTIF(DATA_SURAT_PELANTIKAN!$F$2:$F$56,B79)</f>
        <v>0</v>
      </c>
      <c r="F79" s="55">
        <f>COUNTIF(DATA_SURAT_PELANTIKAN!$G$2:$G$56,B79)</f>
        <v>1</v>
      </c>
      <c r="G79" s="43">
        <f t="shared" si="0"/>
        <v>1</v>
      </c>
      <c r="H79" s="55">
        <f>COUNTIF(DATA_SURAT_PELANTIKAN!$D$57:$D$150,B79)</f>
        <v>0</v>
      </c>
      <c r="I79" s="55">
        <f>COUNTIF(DATA_SURAT_PELANTIKAN!$E$57:$E$150,B79)</f>
        <v>0</v>
      </c>
      <c r="J79" s="55">
        <f>COUNTIF(DATA_SURAT_PELANTIKAN!$F$57:$F$150,B79)</f>
        <v>0</v>
      </c>
      <c r="K79" s="55">
        <f>COUNTIF(DATA_SURAT_PELANTIKAN!$G$57:$G$150,B79)</f>
        <v>0</v>
      </c>
      <c r="L79" s="43">
        <f t="shared" si="1"/>
        <v>0</v>
      </c>
      <c r="M79" s="52"/>
      <c r="N79" s="52"/>
      <c r="O79" s="52"/>
      <c r="P79" s="52"/>
      <c r="Q79" s="52"/>
      <c r="R79" s="52"/>
      <c r="S79" s="52"/>
      <c r="T79" s="52"/>
      <c r="U79" s="52"/>
      <c r="V79" s="52"/>
      <c r="W79" s="52"/>
      <c r="X79" s="52"/>
      <c r="Y79" s="52"/>
      <c r="Z79" s="52"/>
    </row>
    <row r="80" spans="1:26" s="53" customFormat="1" ht="28.5" customHeight="1">
      <c r="A80" s="41">
        <v>76</v>
      </c>
      <c r="B80" s="56" t="s">
        <v>323</v>
      </c>
      <c r="C80" s="55">
        <f>COUNTIF(DATA_SURAT_PELANTIKAN!$D$2:$D$56,B80)</f>
        <v>0</v>
      </c>
      <c r="D80" s="55">
        <f>COUNTIF(DATA_SURAT_PELANTIKAN!$E$2:$E$56,B80)</f>
        <v>0</v>
      </c>
      <c r="E80" s="55">
        <f>COUNTIF(DATA_SURAT_PELANTIKAN!$F$2:$F$56,B80)</f>
        <v>0</v>
      </c>
      <c r="F80" s="55">
        <f>COUNTIF(DATA_SURAT_PELANTIKAN!$G$2:$G$56,B80)</f>
        <v>1</v>
      </c>
      <c r="G80" s="43">
        <f t="shared" si="0"/>
        <v>1</v>
      </c>
      <c r="H80" s="55">
        <f>COUNTIF(DATA_SURAT_PELANTIKAN!$D$57:$D$150,B80)</f>
        <v>0</v>
      </c>
      <c r="I80" s="55">
        <f>COUNTIF(DATA_SURAT_PELANTIKAN!$E$57:$E$150,B80)</f>
        <v>0</v>
      </c>
      <c r="J80" s="55">
        <f>COUNTIF(DATA_SURAT_PELANTIKAN!$F$57:$F$150,B80)</f>
        <v>0</v>
      </c>
      <c r="K80" s="55">
        <f>COUNTIF(DATA_SURAT_PELANTIKAN!$G$57:$G$150,B80)</f>
        <v>0</v>
      </c>
      <c r="L80" s="43">
        <f t="shared" si="1"/>
        <v>0</v>
      </c>
      <c r="M80" s="52"/>
      <c r="N80" s="52"/>
      <c r="O80" s="52"/>
      <c r="P80" s="52"/>
      <c r="Q80" s="52"/>
      <c r="R80" s="52"/>
      <c r="S80" s="52"/>
      <c r="T80" s="52"/>
      <c r="U80" s="52"/>
      <c r="V80" s="52"/>
      <c r="W80" s="52"/>
      <c r="X80" s="52"/>
      <c r="Y80" s="52"/>
      <c r="Z80" s="52"/>
    </row>
    <row r="81" spans="1:26" s="53" customFormat="1" ht="28.5" customHeight="1">
      <c r="A81" s="41">
        <v>77</v>
      </c>
      <c r="B81" s="56" t="s">
        <v>513</v>
      </c>
      <c r="C81" s="55">
        <f>COUNTIF(DATA_SURAT_PELANTIKAN!$D$2:$D$56,B81)</f>
        <v>0</v>
      </c>
      <c r="D81" s="55">
        <f>COUNTIF(DATA_SURAT_PELANTIKAN!$E$2:$E$56,B81)</f>
        <v>0</v>
      </c>
      <c r="E81" s="55">
        <f>COUNTIF(DATA_SURAT_PELANTIKAN!$F$2:$F$56,B81)</f>
        <v>0</v>
      </c>
      <c r="F81" s="55">
        <f>COUNTIF(DATA_SURAT_PELANTIKAN!$G$2:$G$56,B81)</f>
        <v>0</v>
      </c>
      <c r="G81" s="43">
        <f t="shared" si="0"/>
        <v>0</v>
      </c>
      <c r="H81" s="55">
        <f>COUNTIF(DATA_SURAT_PELANTIKAN!$D$57:$D$150,B81)</f>
        <v>0</v>
      </c>
      <c r="I81" s="55">
        <f>COUNTIF(DATA_SURAT_PELANTIKAN!$E$57:$E$150,B81)</f>
        <v>0</v>
      </c>
      <c r="J81" s="55">
        <f>COUNTIF(DATA_SURAT_PELANTIKAN!$F$57:$F$150,B81)</f>
        <v>0</v>
      </c>
      <c r="K81" s="55">
        <f>COUNTIF(DATA_SURAT_PELANTIKAN!$G$57:$G$150,B81)</f>
        <v>0</v>
      </c>
      <c r="L81" s="43">
        <f t="shared" si="1"/>
        <v>0</v>
      </c>
      <c r="M81" s="52"/>
      <c r="N81" s="52"/>
      <c r="O81" s="52"/>
      <c r="P81" s="52"/>
      <c r="Q81" s="52"/>
      <c r="R81" s="52"/>
      <c r="S81" s="52"/>
      <c r="T81" s="52"/>
      <c r="U81" s="52"/>
      <c r="V81" s="52"/>
      <c r="W81" s="52"/>
      <c r="X81" s="52"/>
      <c r="Y81" s="52"/>
      <c r="Z81" s="52"/>
    </row>
    <row r="82" spans="1:26" ht="28.5" customHeight="1">
      <c r="A82" s="4">
        <v>78</v>
      </c>
      <c r="B82" s="5" t="s">
        <v>519</v>
      </c>
      <c r="C82" s="4">
        <f>COUNTIF(DATA_SURAT_PELANTIKAN!$D$2:$D$56,B82)</f>
        <v>0</v>
      </c>
      <c r="D82" s="4">
        <f>COUNTIF(DATA_SURAT_PELANTIKAN!$E$2:$E$56,B82)</f>
        <v>0</v>
      </c>
      <c r="E82" s="4">
        <f>COUNTIF(DATA_SURAT_PELANTIKAN!$F$2:$F$56,B82)</f>
        <v>0</v>
      </c>
      <c r="F82" s="4">
        <f>COUNTIF(DATA_SURAT_PELANTIKAN!$G$2:$G$56,B82)</f>
        <v>0</v>
      </c>
      <c r="G82" s="6">
        <f t="shared" si="0"/>
        <v>0</v>
      </c>
      <c r="H82" s="4">
        <f>COUNTIF(DATA_SURAT_PELANTIKAN!$D$57:$D$150,B82)</f>
        <v>1</v>
      </c>
      <c r="I82" s="4">
        <f>COUNTIF(DATA_SURAT_PELANTIKAN!$E$57:$E$150,B82)</f>
        <v>0</v>
      </c>
      <c r="J82" s="4">
        <f>COUNTIF(DATA_SURAT_PELANTIKAN!$F$57:$F$150,B82)</f>
        <v>0</v>
      </c>
      <c r="K82" s="4">
        <f>COUNTIF(DATA_SURAT_PELANTIKAN!$G$57:$G$150,B82)</f>
        <v>0</v>
      </c>
      <c r="L82" s="6">
        <f t="shared" si="1"/>
        <v>1</v>
      </c>
      <c r="M82" s="20"/>
      <c r="N82" s="20"/>
      <c r="O82" s="20"/>
      <c r="P82" s="20"/>
      <c r="Q82" s="20"/>
      <c r="R82" s="20"/>
      <c r="S82" s="20"/>
      <c r="T82" s="20"/>
      <c r="U82" s="20"/>
      <c r="V82" s="20"/>
      <c r="W82" s="20"/>
      <c r="X82" s="20"/>
      <c r="Y82" s="20"/>
      <c r="Z82" s="20"/>
    </row>
    <row r="83" spans="1:26" ht="28.5" customHeight="1">
      <c r="A83" s="4">
        <v>79</v>
      </c>
      <c r="B83" s="7" t="s">
        <v>531</v>
      </c>
      <c r="C83" s="4">
        <f>COUNTIF(DATA_SURAT_PELANTIKAN!$D$2:$D$56,B83)</f>
        <v>0</v>
      </c>
      <c r="D83" s="4">
        <f>COUNTIF(DATA_SURAT_PELANTIKAN!$E$2:$E$56,B83)</f>
        <v>0</v>
      </c>
      <c r="E83" s="4">
        <f>COUNTIF(DATA_SURAT_PELANTIKAN!$F$2:$F$56,B83)</f>
        <v>0</v>
      </c>
      <c r="F83" s="4">
        <f>COUNTIF(DATA_SURAT_PELANTIKAN!$G$2:$G$56,B83)</f>
        <v>0</v>
      </c>
      <c r="G83" s="6">
        <f t="shared" si="0"/>
        <v>0</v>
      </c>
      <c r="H83" s="4">
        <f>COUNTIF(DATA_SURAT_PELANTIKAN!$D$57:$D$150,B83)</f>
        <v>0</v>
      </c>
      <c r="I83" s="4">
        <f>COUNTIF(DATA_SURAT_PELANTIKAN!$E$57:$E$150,B83)</f>
        <v>1</v>
      </c>
      <c r="J83" s="4">
        <f>COUNTIF(DATA_SURAT_PELANTIKAN!$F$57:$F$150,B83)</f>
        <v>0</v>
      </c>
      <c r="K83" s="4">
        <f>COUNTIF(DATA_SURAT_PELANTIKAN!$G$57:$G$150,B83)</f>
        <v>0</v>
      </c>
      <c r="L83" s="6">
        <f t="shared" si="1"/>
        <v>1</v>
      </c>
      <c r="M83" s="20"/>
      <c r="N83" s="20"/>
      <c r="O83" s="20"/>
      <c r="P83" s="20"/>
      <c r="Q83" s="20"/>
      <c r="R83" s="20"/>
      <c r="S83" s="20"/>
      <c r="T83" s="20"/>
      <c r="U83" s="20"/>
      <c r="V83" s="20"/>
      <c r="W83" s="20"/>
      <c r="X83" s="20"/>
      <c r="Y83" s="20"/>
      <c r="Z83" s="20"/>
    </row>
    <row r="84" spans="1:26" ht="28.5" customHeight="1">
      <c r="A84" s="4">
        <v>80</v>
      </c>
      <c r="B84" s="12" t="s">
        <v>613</v>
      </c>
      <c r="C84" s="4">
        <f>COUNTIF(DATA_SURAT_PELANTIKAN!$D$2:$D$56,B84)</f>
        <v>0</v>
      </c>
      <c r="D84" s="4">
        <f>COUNTIF(DATA_SURAT_PELANTIKAN!$E$2:$E$56,B84)</f>
        <v>0</v>
      </c>
      <c r="E84" s="4">
        <f>COUNTIF(DATA_SURAT_PELANTIKAN!$F$2:$F$56,B84)</f>
        <v>0</v>
      </c>
      <c r="F84" s="4">
        <f>COUNTIF(DATA_SURAT_PELANTIKAN!$G$2:$G$56,B84)</f>
        <v>0</v>
      </c>
      <c r="G84" s="6">
        <f t="shared" si="0"/>
        <v>0</v>
      </c>
      <c r="H84" s="4">
        <f>COUNTIF(DATA_SURAT_PELANTIKAN!$D$57:$D$150,B84)</f>
        <v>2</v>
      </c>
      <c r="I84" s="4">
        <f>COUNTIF(DATA_SURAT_PELANTIKAN!$E$57:$E$150,B84)</f>
        <v>6</v>
      </c>
      <c r="J84" s="4">
        <f>COUNTIF(DATA_SURAT_PELANTIKAN!$F$57:$F$150,B84)</f>
        <v>0</v>
      </c>
      <c r="K84" s="4">
        <f>COUNTIF(DATA_SURAT_PELANTIKAN!$G$57:$G$150,B84)</f>
        <v>0</v>
      </c>
      <c r="L84" s="6">
        <f t="shared" si="1"/>
        <v>8</v>
      </c>
      <c r="M84" s="20"/>
      <c r="N84" s="20"/>
      <c r="O84" s="20"/>
      <c r="P84" s="20"/>
      <c r="Q84" s="20"/>
      <c r="R84" s="20"/>
      <c r="S84" s="20"/>
      <c r="T84" s="20"/>
      <c r="U84" s="20"/>
      <c r="V84" s="20"/>
      <c r="W84" s="20"/>
      <c r="X84" s="20"/>
      <c r="Y84" s="20"/>
      <c r="Z84" s="20"/>
    </row>
    <row r="85" spans="1:26" ht="28.5" customHeight="1">
      <c r="A85" s="4">
        <v>81</v>
      </c>
      <c r="B85" s="7" t="s">
        <v>545</v>
      </c>
      <c r="C85" s="4">
        <f>COUNTIF(DATA_SURAT_PELANTIKAN!$D$2:$D$56,B85)</f>
        <v>0</v>
      </c>
      <c r="D85" s="4">
        <f>COUNTIF(DATA_SURAT_PELANTIKAN!$E$2:$E$56,B85)</f>
        <v>0</v>
      </c>
      <c r="E85" s="4">
        <f>COUNTIF(DATA_SURAT_PELANTIKAN!$F$2:$F$56,B85)</f>
        <v>0</v>
      </c>
      <c r="F85" s="4">
        <f>COUNTIF(DATA_SURAT_PELANTIKAN!$G$2:$G$56,B85)</f>
        <v>0</v>
      </c>
      <c r="G85" s="6">
        <f t="shared" si="0"/>
        <v>0</v>
      </c>
      <c r="H85" s="4">
        <f>COUNTIF(DATA_SURAT_PELANTIKAN!$D$57:$D$150,B85)</f>
        <v>0</v>
      </c>
      <c r="I85" s="4">
        <f>COUNTIF(DATA_SURAT_PELANTIKAN!$E$57:$E$150,B85)</f>
        <v>2</v>
      </c>
      <c r="J85" s="4">
        <f>COUNTIF(DATA_SURAT_PELANTIKAN!$F$57:$F$150,B85)</f>
        <v>0</v>
      </c>
      <c r="K85" s="4">
        <f>COUNTIF(DATA_SURAT_PELANTIKAN!$G$57:$G$150,B85)</f>
        <v>0</v>
      </c>
      <c r="L85" s="6">
        <f t="shared" si="1"/>
        <v>2</v>
      </c>
      <c r="M85" s="20"/>
      <c r="N85" s="20"/>
      <c r="O85" s="20"/>
      <c r="P85" s="20"/>
      <c r="Q85" s="20"/>
      <c r="R85" s="20"/>
      <c r="S85" s="20"/>
      <c r="T85" s="20"/>
      <c r="U85" s="20"/>
      <c r="V85" s="20"/>
      <c r="W85" s="20"/>
      <c r="X85" s="20"/>
      <c r="Y85" s="20"/>
      <c r="Z85" s="20"/>
    </row>
    <row r="86" spans="1:26" ht="28.5" customHeight="1">
      <c r="A86" s="4">
        <v>82</v>
      </c>
      <c r="B86" s="7" t="s">
        <v>555</v>
      </c>
      <c r="C86" s="4">
        <f>COUNTIF(DATA_SURAT_PELANTIKAN!$D$2:$D$56,B86)</f>
        <v>0</v>
      </c>
      <c r="D86" s="4">
        <f>COUNTIF(DATA_SURAT_PELANTIKAN!$E$2:$E$56,B86)</f>
        <v>0</v>
      </c>
      <c r="E86" s="4">
        <f>COUNTIF(DATA_SURAT_PELANTIKAN!$F$2:$F$56,B86)</f>
        <v>0</v>
      </c>
      <c r="F86" s="4">
        <f>COUNTIF(DATA_SURAT_PELANTIKAN!$G$2:$G$56,B86)</f>
        <v>0</v>
      </c>
      <c r="G86" s="6">
        <f t="shared" si="0"/>
        <v>0</v>
      </c>
      <c r="H86" s="4">
        <f>COUNTIF(DATA_SURAT_PELANTIKAN!$D$57:$D$150,B86)</f>
        <v>1</v>
      </c>
      <c r="I86" s="4">
        <f>COUNTIF(DATA_SURAT_PELANTIKAN!$E$57:$E$150,'KEKERAPAN '!B86)</f>
        <v>1</v>
      </c>
      <c r="J86" s="4">
        <f>COUNTIF(DATA_SURAT_PELANTIKAN!$F$57:$F$150,B86)</f>
        <v>0</v>
      </c>
      <c r="K86" s="4">
        <f>COUNTIF(DATA_SURAT_PELANTIKAN!$G$57:$G$150,B86)</f>
        <v>0</v>
      </c>
      <c r="L86" s="6">
        <f t="shared" si="1"/>
        <v>2</v>
      </c>
      <c r="M86" s="20"/>
      <c r="N86" s="20"/>
      <c r="O86" s="20"/>
      <c r="P86" s="20"/>
      <c r="Q86" s="20"/>
      <c r="R86" s="20"/>
      <c r="S86" s="20"/>
      <c r="T86" s="20"/>
      <c r="U86" s="20"/>
      <c r="V86" s="20"/>
      <c r="W86" s="20"/>
      <c r="X86" s="20"/>
      <c r="Y86" s="20"/>
      <c r="Z86" s="20"/>
    </row>
    <row r="87" spans="1:26" ht="28.5" customHeight="1">
      <c r="A87" s="4">
        <v>83</v>
      </c>
      <c r="B87" s="7" t="s">
        <v>667</v>
      </c>
      <c r="C87" s="4">
        <f>COUNTIF(DATA_SURAT_PELANTIKAN!$D$2:$D$56,B87)</f>
        <v>0</v>
      </c>
      <c r="D87" s="4">
        <f>COUNTIF(DATA_SURAT_PELANTIKAN!$E$2:$E$56,B87)</f>
        <v>0</v>
      </c>
      <c r="E87" s="4">
        <f>COUNTIF(DATA_SURAT_PELANTIKAN!$F$2:$F$56,B87)</f>
        <v>0</v>
      </c>
      <c r="F87" s="4">
        <f>COUNTIF(DATA_SURAT_PELANTIKAN!$G$2:$G$56,B87)</f>
        <v>0</v>
      </c>
      <c r="G87" s="6">
        <f t="shared" si="0"/>
        <v>0</v>
      </c>
      <c r="H87" s="4">
        <f>COUNTIF(DATA_SURAT_PELANTIKAN!$D$57:$D$150,B87)</f>
        <v>0</v>
      </c>
      <c r="I87" s="4">
        <f>COUNTIF(DATA_SURAT_PELANTIKAN!$E$57:$E$150,B87)</f>
        <v>1</v>
      </c>
      <c r="J87" s="4">
        <f>COUNTIF(DATA_SURAT_PELANTIKAN!$F$57:$F$150,B87)</f>
        <v>0</v>
      </c>
      <c r="K87" s="4">
        <f>COUNTIF(DATA_SURAT_PELANTIKAN!$G$57:$G$150,B87)</f>
        <v>0</v>
      </c>
      <c r="L87" s="6">
        <f t="shared" si="1"/>
        <v>1</v>
      </c>
      <c r="M87" s="20"/>
      <c r="N87" s="20"/>
      <c r="O87" s="20"/>
      <c r="P87" s="20"/>
      <c r="Q87" s="20"/>
      <c r="R87" s="20"/>
      <c r="S87" s="20"/>
      <c r="T87" s="20"/>
      <c r="U87" s="20"/>
      <c r="V87" s="20"/>
      <c r="W87" s="20"/>
      <c r="X87" s="20"/>
      <c r="Y87" s="20"/>
      <c r="Z87" s="20"/>
    </row>
    <row r="88" spans="1:26" ht="28.5" customHeight="1">
      <c r="A88" s="4">
        <v>84</v>
      </c>
      <c r="B88" s="9" t="s">
        <v>556</v>
      </c>
      <c r="C88" s="4">
        <f>COUNTIF(DATA_SURAT_PELANTIKAN!$D$2:$D$56,B88)</f>
        <v>0</v>
      </c>
      <c r="D88" s="4">
        <f>COUNTIF(DATA_SURAT_PELANTIKAN!$E$2:$E$56,B88)</f>
        <v>0</v>
      </c>
      <c r="E88" s="4">
        <f>COUNTIF(DATA_SURAT_PELANTIKAN!$F$2:$F$56,B88)</f>
        <v>0</v>
      </c>
      <c r="F88" s="4">
        <f>COUNTIF(DATA_SURAT_PELANTIKAN!$G$2:$G$56,B88)</f>
        <v>0</v>
      </c>
      <c r="G88" s="6">
        <f t="shared" si="0"/>
        <v>0</v>
      </c>
      <c r="H88" s="4">
        <f>COUNTIF(DATA_SURAT_PELANTIKAN!$D$57:$D$150,B88)</f>
        <v>1</v>
      </c>
      <c r="I88" s="4">
        <f>COUNTIF(DATA_SURAT_PELANTIKAN!$E$57:$E$150,B88)</f>
        <v>1</v>
      </c>
      <c r="J88" s="4">
        <f>COUNTIF(DATA_SURAT_PELANTIKAN!$F$57:$F$150,B88)</f>
        <v>0</v>
      </c>
      <c r="K88" s="4">
        <f>COUNTIF(DATA_SURAT_PELANTIKAN!$G$57:$G$150,B88)</f>
        <v>2</v>
      </c>
      <c r="L88" s="6">
        <f t="shared" si="1"/>
        <v>4</v>
      </c>
      <c r="M88" s="20"/>
      <c r="N88" s="20"/>
      <c r="O88" s="20"/>
      <c r="P88" s="20"/>
      <c r="Q88" s="20"/>
      <c r="R88" s="20"/>
      <c r="S88" s="20"/>
      <c r="T88" s="20"/>
      <c r="U88" s="20"/>
      <c r="V88" s="20"/>
      <c r="W88" s="20"/>
      <c r="X88" s="20"/>
      <c r="Y88" s="20"/>
      <c r="Z88" s="20"/>
    </row>
    <row r="89" spans="1:26" ht="28.5" customHeight="1">
      <c r="A89" s="4">
        <v>85</v>
      </c>
      <c r="B89" s="5" t="s">
        <v>620</v>
      </c>
      <c r="C89" s="4">
        <f>COUNTIF(DATA_SURAT_PELANTIKAN!$D$2:$D$56,B89)</f>
        <v>0</v>
      </c>
      <c r="D89" s="4">
        <f>COUNTIF(DATA_SURAT_PELANTIKAN!$E$2:$E$56,B89)</f>
        <v>0</v>
      </c>
      <c r="E89" s="4">
        <f>COUNTIF(DATA_SURAT_PELANTIKAN!$F$2:$F$56,B89)</f>
        <v>0</v>
      </c>
      <c r="F89" s="4">
        <f>COUNTIF(DATA_SURAT_PELANTIKAN!$G$2:$G$56,B89)</f>
        <v>0</v>
      </c>
      <c r="G89" s="6">
        <f t="shared" si="0"/>
        <v>0</v>
      </c>
      <c r="H89" s="4">
        <f>COUNTIF(DATA_SURAT_PELANTIKAN!$D$57:$D$150,B89)</f>
        <v>1</v>
      </c>
      <c r="I89" s="4">
        <f>COUNTIF(DATA_SURAT_PELANTIKAN!$E$57:$E$150,B89)</f>
        <v>0</v>
      </c>
      <c r="J89" s="4">
        <f>COUNTIF(DATA_SURAT_PELANTIKAN!$F$57:$F$150,B89)</f>
        <v>0</v>
      </c>
      <c r="K89" s="4">
        <f>COUNTIF(DATA_SURAT_PELANTIKAN!$G$57:$G$150,B89)</f>
        <v>1</v>
      </c>
      <c r="L89" s="6">
        <f t="shared" si="1"/>
        <v>2</v>
      </c>
      <c r="M89" s="20"/>
      <c r="N89" s="20"/>
      <c r="O89" s="20"/>
      <c r="P89" s="20"/>
      <c r="Q89" s="20"/>
      <c r="R89" s="20"/>
      <c r="S89" s="20"/>
      <c r="T89" s="20"/>
      <c r="U89" s="20"/>
      <c r="V89" s="20"/>
      <c r="W89" s="20"/>
      <c r="X89" s="20"/>
      <c r="Y89" s="20"/>
      <c r="Z89" s="20"/>
    </row>
    <row r="90" spans="1:26" ht="28.5" customHeight="1">
      <c r="A90" s="13">
        <v>86</v>
      </c>
      <c r="B90" s="9" t="s">
        <v>755</v>
      </c>
      <c r="C90" s="13">
        <f>COUNTIF(DATA_SURAT_PELANTIKAN!$D$2:$D$56,B90)</f>
        <v>0</v>
      </c>
      <c r="D90" s="13">
        <f>COUNTIF(DATA_SURAT_PELANTIKAN!$E$2:$E$56,B90)</f>
        <v>0</v>
      </c>
      <c r="E90" s="13">
        <f>COUNTIF(DATA_SURAT_PELANTIKAN!$F$2:$F$56,B90)</f>
        <v>0</v>
      </c>
      <c r="F90" s="13">
        <f>COUNTIF(DATA_SURAT_PELANTIKAN!$G$2:$G$56,B90)</f>
        <v>0</v>
      </c>
      <c r="G90" s="14">
        <f t="shared" si="0"/>
        <v>0</v>
      </c>
      <c r="H90" s="13">
        <f>COUNTIF(DATA_SURAT_PELANTIKAN!$D$57:$D$150,B90)</f>
        <v>0</v>
      </c>
      <c r="I90" s="13">
        <f>COUNTIF(DATA_SURAT_PELANTIKAN!$E$57:$E$150,B90)</f>
        <v>1</v>
      </c>
      <c r="J90" s="13">
        <f>COUNTIF(DATA_SURAT_PELANTIKAN!$F$57:$F$150,B90)</f>
        <v>0</v>
      </c>
      <c r="K90" s="13">
        <f>COUNTIF(DATA_SURAT_PELANTIKAN!$G$57:$G$150,B90)</f>
        <v>0</v>
      </c>
      <c r="L90" s="14">
        <f t="shared" si="1"/>
        <v>1</v>
      </c>
      <c r="M90" s="20"/>
      <c r="N90" s="20"/>
      <c r="O90" s="20"/>
      <c r="P90" s="20"/>
      <c r="Q90" s="20"/>
      <c r="R90" s="20"/>
      <c r="S90" s="20"/>
      <c r="T90" s="20"/>
      <c r="U90" s="20"/>
      <c r="V90" s="20"/>
      <c r="W90" s="20"/>
      <c r="X90" s="20"/>
      <c r="Y90" s="20"/>
      <c r="Z90" s="20"/>
    </row>
    <row r="91" spans="1:26" ht="28.5" customHeight="1">
      <c r="A91" s="4">
        <v>87</v>
      </c>
      <c r="B91" s="15" t="s">
        <v>772</v>
      </c>
      <c r="C91" s="4">
        <f>COUNTIF(DATA_SURAT_PELANTIKAN!$D$2:$D$56,B91)</f>
        <v>0</v>
      </c>
      <c r="D91" s="4">
        <f>COUNTIF(DATA_SURAT_PELANTIKAN!$E$2:$E$56,B91)</f>
        <v>0</v>
      </c>
      <c r="E91" s="4">
        <f>COUNTIF(DATA_SURAT_PELANTIKAN!$F$2:$F$56,B91)</f>
        <v>0</v>
      </c>
      <c r="F91" s="4">
        <f>COUNTIF(DATA_SURAT_PELANTIKAN!$G$2:$G$56,B91)</f>
        <v>0</v>
      </c>
      <c r="G91" s="6">
        <f t="shared" si="0"/>
        <v>0</v>
      </c>
      <c r="H91" s="4">
        <f>COUNTIF(DATA_SURAT_PELANTIKAN!$D$57:$D$150,B91)</f>
        <v>0</v>
      </c>
      <c r="I91" s="4">
        <f>COUNTIF(DATA_SURAT_PELANTIKAN!$E$57:$E$150,B91)</f>
        <v>2</v>
      </c>
      <c r="J91" s="4">
        <f>COUNTIF(DATA_SURAT_PELANTIKAN!$F$57:$F$150,B91)</f>
        <v>0</v>
      </c>
      <c r="K91" s="4">
        <f>COUNTIF(DATA_SURAT_PELANTIKAN!$G$57:$G$150,B91)</f>
        <v>0</v>
      </c>
      <c r="L91" s="6">
        <f t="shared" si="1"/>
        <v>2</v>
      </c>
      <c r="M91" s="20"/>
      <c r="N91" s="20"/>
      <c r="O91" s="20"/>
      <c r="P91" s="20"/>
      <c r="Q91" s="20"/>
      <c r="R91" s="20"/>
      <c r="S91" s="20"/>
      <c r="T91" s="20"/>
      <c r="U91" s="20"/>
      <c r="V91" s="20"/>
      <c r="W91" s="20"/>
      <c r="X91" s="20"/>
      <c r="Y91" s="20"/>
      <c r="Z91" s="20"/>
    </row>
    <row r="92" spans="1:26" ht="28.5" customHeight="1">
      <c r="A92" s="37">
        <v>88</v>
      </c>
      <c r="B92" s="38" t="s">
        <v>901</v>
      </c>
      <c r="C92" s="39">
        <f>COUNTIF(DATA_SURAT_PELANTIKAN!$D$2:$D$56,B92)</f>
        <v>0</v>
      </c>
      <c r="D92" s="13">
        <f>COUNTIF(DATA_SURAT_PELANTIKAN!$E$2:$E$56,B92)</f>
        <v>0</v>
      </c>
      <c r="E92" s="13">
        <f>COUNTIF(DATA_SURAT_PELANTIKAN!$F$2:$F$56,B92)</f>
        <v>0</v>
      </c>
      <c r="F92" s="4">
        <f>COUNTIF(DATA_SURAT_PELANTIKAN!$G$2:$G$56,B92)</f>
        <v>0</v>
      </c>
      <c r="G92" s="6">
        <f t="shared" si="0"/>
        <v>0</v>
      </c>
      <c r="H92" s="4">
        <f>COUNTIF(DATA_SURAT_PELANTIKAN!$D$57:$D$150,B92)</f>
        <v>0</v>
      </c>
      <c r="I92" s="4">
        <f>COUNTIF(DATA_SURAT_PELANTIKAN!$E$57:$E$150,B92)</f>
        <v>0</v>
      </c>
      <c r="J92" s="4">
        <f>COUNTIF(DATA_SURAT_PELANTIKAN!$F$57:$F$150,B92)</f>
        <v>0</v>
      </c>
      <c r="K92" s="4">
        <f>COUNTIF(DATA_SURAT_PELANTIKAN!$G$57:$G$150,B92)</f>
        <v>1</v>
      </c>
      <c r="L92" s="6">
        <f t="shared" si="1"/>
        <v>1</v>
      </c>
      <c r="M92" s="20"/>
      <c r="N92" s="20"/>
      <c r="O92" s="20"/>
      <c r="P92" s="20"/>
      <c r="Q92" s="20"/>
      <c r="R92" s="20"/>
      <c r="S92" s="20"/>
      <c r="T92" s="20"/>
      <c r="U92" s="20"/>
      <c r="V92" s="20"/>
      <c r="W92" s="20"/>
      <c r="X92" s="20"/>
      <c r="Y92" s="20"/>
      <c r="Z92" s="20"/>
    </row>
    <row r="93" spans="1:26" s="35" customFormat="1" ht="28.5" customHeight="1">
      <c r="A93" s="40">
        <v>89</v>
      </c>
      <c r="B93" s="57" t="s">
        <v>944</v>
      </c>
      <c r="C93" s="40">
        <f>COUNTIF(DATA_SURAT_PELANTIKAN!$D$2:$D$56,B93)</f>
        <v>0</v>
      </c>
      <c r="D93" s="40">
        <f>COUNTIF(DATA_SURAT_PELANTIKAN!$E$2:$E$56,B93)</f>
        <v>0</v>
      </c>
      <c r="E93" s="40">
        <f>COUNTIF(DATA_SURAT_PELANTIKAN!$F$2:$F$56,B93)</f>
        <v>0</v>
      </c>
      <c r="F93" s="17">
        <f>COUNTIF(DATA_SURAT_PELANTIKAN!$G$2:$G$56,B93)</f>
        <v>0</v>
      </c>
      <c r="G93" s="6">
        <f t="shared" si="0"/>
        <v>0</v>
      </c>
      <c r="H93" s="4">
        <f>COUNTIF(DATA_SURAT_PELANTIKAN!$D$57:$D$150,B93)</f>
        <v>0</v>
      </c>
      <c r="I93" s="4">
        <f>COUNTIF(DATA_SURAT_PELANTIKAN!$E$57:$E$150,B93)</f>
        <v>1</v>
      </c>
      <c r="J93" s="4">
        <f>COUNTIF(DATA_SURAT_PELANTIKAN!$F$57:$F$150,B93)</f>
        <v>0</v>
      </c>
      <c r="K93" s="4">
        <f>COUNTIF(DATA_SURAT_PELANTIKAN!$G$57:$G$150,B93)</f>
        <v>0</v>
      </c>
      <c r="L93" s="6">
        <f t="shared" si="1"/>
        <v>1</v>
      </c>
      <c r="M93" s="20"/>
      <c r="N93" s="20"/>
      <c r="O93" s="20"/>
      <c r="P93" s="20"/>
      <c r="Q93" s="20"/>
      <c r="R93" s="20"/>
      <c r="S93" s="20"/>
      <c r="T93" s="20"/>
      <c r="U93" s="20"/>
      <c r="V93" s="20"/>
      <c r="W93" s="20"/>
      <c r="X93" s="20"/>
      <c r="Y93" s="20"/>
      <c r="Z93" s="20"/>
    </row>
    <row r="94" spans="1:26" s="35" customFormat="1" ht="28.5" customHeight="1">
      <c r="A94" s="60">
        <v>90</v>
      </c>
      <c r="B94" s="61" t="s">
        <v>939</v>
      </c>
      <c r="C94" s="60">
        <f>COUNTIF(DATA_SURAT_PELANTIKAN!$D$2:$D$56,B94)</f>
        <v>0</v>
      </c>
      <c r="D94" s="60">
        <f>COUNTIF(DATA_SURAT_PELANTIKAN!$E$2:$E$56,B94)</f>
        <v>0</v>
      </c>
      <c r="E94" s="60">
        <f>COUNTIF(DATA_SURAT_PELANTIKAN!$F$2:$F$56,B94)</f>
        <v>0</v>
      </c>
      <c r="F94" s="39">
        <f>COUNTIF(DATA_SURAT_PELANTIKAN!$G$2:$G$56,B94)</f>
        <v>0</v>
      </c>
      <c r="G94" s="14">
        <f t="shared" ref="G94:G100" si="2">SUM(C94:F94)</f>
        <v>0</v>
      </c>
      <c r="H94" s="13">
        <f>COUNTIF(DATA_SURAT_PELANTIKAN!$D$57:$D$150,B94)</f>
        <v>0</v>
      </c>
      <c r="I94" s="13">
        <f>COUNTIF(DATA_SURAT_PELANTIKAN!$E$57:$E$150,B94)</f>
        <v>1</v>
      </c>
      <c r="J94" s="13">
        <f>COUNTIF(DATA_SURAT_PELANTIKAN!$F$57:$F$150,B94)</f>
        <v>0</v>
      </c>
      <c r="K94" s="13">
        <f>COUNTIF(DATA_SURAT_PELANTIKAN!$G$57:$G$150,B94)</f>
        <v>0</v>
      </c>
      <c r="L94" s="14">
        <f t="shared" ref="L94" si="3">SUM(H94:K94)</f>
        <v>1</v>
      </c>
      <c r="M94" s="20"/>
      <c r="N94" s="20"/>
      <c r="O94" s="20"/>
      <c r="P94" s="20"/>
      <c r="Q94" s="20"/>
      <c r="R94" s="20"/>
      <c r="S94" s="20"/>
      <c r="T94" s="20"/>
      <c r="U94" s="20"/>
      <c r="V94" s="20"/>
      <c r="W94" s="20"/>
      <c r="X94" s="20"/>
      <c r="Y94" s="20"/>
      <c r="Z94" s="20"/>
    </row>
    <row r="95" spans="1:26" s="35" customFormat="1" ht="28.5" customHeight="1">
      <c r="A95" s="69">
        <v>91</v>
      </c>
      <c r="B95" s="70" t="s">
        <v>908</v>
      </c>
      <c r="C95" s="71">
        <f>COUNTIF(DATA_SURAT_PELANTIKAN!$D$2:$D$56,B95)</f>
        <v>0</v>
      </c>
      <c r="D95" s="71">
        <f>COUNTIF(DATA_SURAT_PELANTIKAN!$E$2:$E$56,B95)</f>
        <v>0</v>
      </c>
      <c r="E95" s="71">
        <f>COUNTIF(DATA_SURAT_PELANTIKAN!$F$2:$F$56,B95)</f>
        <v>0</v>
      </c>
      <c r="F95" s="72">
        <f>COUNTIF(DATA_SURAT_PELANTIKAN!$G$2:$G$56,B95)</f>
        <v>0</v>
      </c>
      <c r="G95" s="73">
        <f t="shared" si="2"/>
        <v>0</v>
      </c>
      <c r="H95" s="74">
        <f>COUNTIF(DATA_SURAT_PELANTIKAN!$D$57:$D$150,B95)</f>
        <v>0</v>
      </c>
      <c r="I95" s="74">
        <f>COUNTIF(DATA_SURAT_PELANTIKAN!$E$57:$E$150,B95)</f>
        <v>0</v>
      </c>
      <c r="J95" s="74">
        <f>COUNTIF(DATA_SURAT_PELANTIKAN!$F$57:$F$150,B95)</f>
        <v>0</v>
      </c>
      <c r="K95" s="74">
        <f>COUNTIF(DATA_SURAT_PELANTIKAN!$G$57:$G$150,B95)</f>
        <v>0</v>
      </c>
      <c r="L95" s="75"/>
      <c r="M95" s="20"/>
      <c r="N95" s="20"/>
      <c r="O95" s="20"/>
      <c r="P95" s="20"/>
      <c r="Q95" s="20"/>
      <c r="R95" s="20"/>
      <c r="S95" s="20"/>
      <c r="T95" s="20"/>
      <c r="U95" s="20"/>
      <c r="V95" s="20"/>
      <c r="W95" s="20"/>
      <c r="X95" s="20"/>
      <c r="Y95" s="20"/>
      <c r="Z95" s="20"/>
    </row>
    <row r="96" spans="1:26" s="35" customFormat="1" ht="28.5" customHeight="1">
      <c r="A96" s="71">
        <v>92</v>
      </c>
      <c r="B96" s="42" t="s">
        <v>561</v>
      </c>
      <c r="C96" s="71">
        <f>COUNTIF(DATA_SURAT_PELANTIKAN!$D$2:$D$56,B96)</f>
        <v>0</v>
      </c>
      <c r="D96" s="71">
        <f>COUNTIF(DATA_SURAT_PELANTIKAN!$E$2:$E$56,B96)</f>
        <v>0</v>
      </c>
      <c r="E96" s="71">
        <f>COUNTIF(DATA_SURAT_PELANTIKAN!$F$2:$F$56,B96)</f>
        <v>0</v>
      </c>
      <c r="F96" s="72">
        <f>COUNTIF(DATA_SURAT_PELANTIKAN!$G$2:$G$56,B96)</f>
        <v>0</v>
      </c>
      <c r="G96" s="73">
        <f t="shared" si="2"/>
        <v>0</v>
      </c>
      <c r="H96" s="74">
        <f>COUNTIF(DATA_SURAT_PELANTIKAN!$D$57:$D$150,B96)</f>
        <v>0</v>
      </c>
      <c r="I96" s="74">
        <f>COUNTIF(DATA_SURAT_PELANTIKAN!$E$57:$E$150,B96)</f>
        <v>0</v>
      </c>
      <c r="J96" s="74">
        <f>COUNTIF(DATA_SURAT_PELANTIKAN!$F$57:$F$150,B96)</f>
        <v>0</v>
      </c>
      <c r="K96" s="74">
        <f>COUNTIF(DATA_SURAT_PELANTIKAN!$G$57:$G$150,B96)</f>
        <v>0</v>
      </c>
      <c r="L96" s="76"/>
      <c r="M96" s="20"/>
      <c r="N96" s="20"/>
      <c r="O96" s="20"/>
      <c r="P96" s="20"/>
      <c r="Q96" s="20"/>
      <c r="R96" s="20"/>
      <c r="S96" s="20"/>
      <c r="T96" s="20"/>
      <c r="U96" s="20"/>
      <c r="V96" s="20"/>
      <c r="W96" s="20"/>
      <c r="X96" s="20"/>
      <c r="Y96" s="20"/>
      <c r="Z96" s="20"/>
    </row>
    <row r="97" spans="1:26" s="35" customFormat="1" ht="28.5" customHeight="1">
      <c r="A97" s="69">
        <v>93</v>
      </c>
      <c r="B97" s="70" t="s">
        <v>915</v>
      </c>
      <c r="C97" s="71">
        <f>COUNTIF(DATA_SURAT_PELANTIKAN!$D$2:$D$56,B97)</f>
        <v>0</v>
      </c>
      <c r="D97" s="71">
        <f>COUNTIF(DATA_SURAT_PELANTIKAN!$E$2:$E$56,B97)</f>
        <v>0</v>
      </c>
      <c r="E97" s="71">
        <f>COUNTIF(DATA_SURAT_PELANTIKAN!$F$2:$F$56,B97)</f>
        <v>0</v>
      </c>
      <c r="F97" s="72">
        <f>COUNTIF(DATA_SURAT_PELANTIKAN!$G$2:$G$56,B97)</f>
        <v>0</v>
      </c>
      <c r="G97" s="73">
        <f t="shared" si="2"/>
        <v>0</v>
      </c>
      <c r="H97" s="74">
        <f>COUNTIF(DATA_SURAT_PELANTIKAN!$D$57:$D$150,B97)</f>
        <v>0</v>
      </c>
      <c r="I97" s="74">
        <f>COUNTIF(DATA_SURAT_PELANTIKAN!$E$57:$E$150,B97)</f>
        <v>0</v>
      </c>
      <c r="J97" s="74">
        <f>COUNTIF(DATA_SURAT_PELANTIKAN!$F$57:$F$150,B97)</f>
        <v>0</v>
      </c>
      <c r="K97" s="74">
        <f>COUNTIF(DATA_SURAT_PELANTIKAN!$G$57:$G$150,B97)</f>
        <v>0</v>
      </c>
      <c r="L97" s="75"/>
      <c r="M97" s="20"/>
      <c r="N97" s="20"/>
      <c r="O97" s="20"/>
      <c r="P97" s="20"/>
      <c r="Q97" s="20"/>
      <c r="R97" s="20"/>
      <c r="S97" s="20"/>
      <c r="T97" s="20"/>
      <c r="U97" s="20"/>
      <c r="V97" s="20"/>
      <c r="W97" s="20"/>
      <c r="X97" s="20"/>
      <c r="Y97" s="20"/>
      <c r="Z97" s="20"/>
    </row>
    <row r="98" spans="1:26" s="35" customFormat="1" ht="28.5" customHeight="1">
      <c r="A98" s="71">
        <v>94</v>
      </c>
      <c r="B98" s="70" t="s">
        <v>715</v>
      </c>
      <c r="C98" s="71">
        <f>COUNTIF(DATA_SURAT_PELANTIKAN!$D$2:$D$56,B98)</f>
        <v>0</v>
      </c>
      <c r="D98" s="71">
        <f>COUNTIF(DATA_SURAT_PELANTIKAN!$E$2:$E$56,B98)</f>
        <v>0</v>
      </c>
      <c r="E98" s="71">
        <f>COUNTIF(DATA_SURAT_PELANTIKAN!$F$2:$F$56,B98)</f>
        <v>0</v>
      </c>
      <c r="F98" s="72">
        <f>COUNTIF(DATA_SURAT_PELANTIKAN!$G$2:$G$56,B98)</f>
        <v>0</v>
      </c>
      <c r="G98" s="73">
        <f t="shared" si="2"/>
        <v>0</v>
      </c>
      <c r="H98" s="74">
        <f>COUNTIF(DATA_SURAT_PELANTIKAN!$D$57:$D$150,B98)</f>
        <v>0</v>
      </c>
      <c r="I98" s="74">
        <f>COUNTIF(DATA_SURAT_PELANTIKAN!$E$57:$E$150,B98)</f>
        <v>0</v>
      </c>
      <c r="J98" s="74">
        <f>COUNTIF(DATA_SURAT_PELANTIKAN!$F$57:$F$150,B98)</f>
        <v>0</v>
      </c>
      <c r="K98" s="74">
        <f>COUNTIF(DATA_SURAT_PELANTIKAN!$G$57:$G$150,B98)</f>
        <v>0</v>
      </c>
      <c r="L98" s="75"/>
      <c r="M98" s="20"/>
      <c r="N98" s="20"/>
      <c r="O98" s="20"/>
      <c r="P98" s="20"/>
      <c r="Q98" s="20"/>
      <c r="R98" s="20"/>
      <c r="S98" s="20"/>
      <c r="T98" s="20"/>
      <c r="U98" s="20"/>
      <c r="V98" s="20"/>
      <c r="W98" s="20"/>
      <c r="X98" s="20"/>
      <c r="Y98" s="20"/>
      <c r="Z98" s="20"/>
    </row>
    <row r="99" spans="1:26" s="35" customFormat="1" ht="28.5" customHeight="1">
      <c r="A99" s="69">
        <v>95</v>
      </c>
      <c r="B99" s="70" t="s">
        <v>621</v>
      </c>
      <c r="C99" s="71">
        <f>COUNTIF(DATA_SURAT_PELANTIKAN!$D$2:$D$56,B99)</f>
        <v>0</v>
      </c>
      <c r="D99" s="71">
        <f>COUNTIF(DATA_SURAT_PELANTIKAN!$E$2:$E$56,B99)</f>
        <v>0</v>
      </c>
      <c r="E99" s="71">
        <f>COUNTIF(DATA_SURAT_PELANTIKAN!$F$2:$F$56,B99)</f>
        <v>0</v>
      </c>
      <c r="F99" s="72">
        <f>COUNTIF(DATA_SURAT_PELANTIKAN!$G$2:$G$56,B99)</f>
        <v>0</v>
      </c>
      <c r="G99" s="73">
        <f t="shared" si="2"/>
        <v>0</v>
      </c>
      <c r="H99" s="74">
        <f>COUNTIF(DATA_SURAT_PELANTIKAN!$D$57:$D$150,B99)</f>
        <v>0</v>
      </c>
      <c r="I99" s="74">
        <f>COUNTIF(DATA_SURAT_PELANTIKAN!$E$57:$E$150,B99)</f>
        <v>0</v>
      </c>
      <c r="J99" s="74">
        <f>COUNTIF(DATA_SURAT_PELANTIKAN!$F$57:$F$150,B99)</f>
        <v>0</v>
      </c>
      <c r="K99" s="74">
        <f>COUNTIF(DATA_SURAT_PELANTIKAN!$G$57:$G$150,B99)</f>
        <v>0</v>
      </c>
      <c r="L99" s="75"/>
      <c r="M99" s="20"/>
      <c r="N99" s="20"/>
      <c r="O99" s="20"/>
      <c r="P99" s="20"/>
      <c r="Q99" s="20"/>
      <c r="R99" s="20"/>
      <c r="S99" s="20"/>
      <c r="T99" s="20"/>
      <c r="U99" s="20"/>
      <c r="V99" s="20"/>
      <c r="W99" s="20"/>
      <c r="X99" s="20"/>
      <c r="Y99" s="20"/>
      <c r="Z99" s="20"/>
    </row>
    <row r="100" spans="1:26" s="35" customFormat="1" ht="28.5" customHeight="1">
      <c r="A100" s="71">
        <v>96</v>
      </c>
      <c r="B100" s="42" t="s">
        <v>672</v>
      </c>
      <c r="C100" s="71">
        <f>COUNTIF(DATA_SURAT_PELANTIKAN!$D$2:$D$56,B100)</f>
        <v>0</v>
      </c>
      <c r="D100" s="71">
        <f>COUNTIF(DATA_SURAT_PELANTIKAN!$E$2:$E$56,B100)</f>
        <v>0</v>
      </c>
      <c r="E100" s="71">
        <f>COUNTIF(DATA_SURAT_PELANTIKAN!$F$2:$F$56,B100)</f>
        <v>0</v>
      </c>
      <c r="F100" s="72">
        <f>COUNTIF(DATA_SURAT_PELANTIKAN!$G$2:$G$56,B100)</f>
        <v>0</v>
      </c>
      <c r="G100" s="73">
        <f t="shared" si="2"/>
        <v>0</v>
      </c>
      <c r="H100" s="74">
        <f>COUNTIF(DATA_SURAT_PELANTIKAN!$D$57:$D$150,B100)</f>
        <v>0</v>
      </c>
      <c r="I100" s="74">
        <f>COUNTIF(DATA_SURAT_PELANTIKAN!$E$57:$E$150,B100)</f>
        <v>0</v>
      </c>
      <c r="J100" s="74">
        <f>COUNTIF(DATA_SURAT_PELANTIKAN!$F$57:$F$150,B100)</f>
        <v>0</v>
      </c>
      <c r="K100" s="74">
        <f>COUNTIF(DATA_SURAT_PELANTIKAN!$G$57:$G$150,B100)</f>
        <v>0</v>
      </c>
      <c r="L100" s="75"/>
      <c r="M100" s="20"/>
      <c r="N100" s="20"/>
      <c r="O100" s="20"/>
      <c r="P100" s="20"/>
      <c r="Q100" s="20"/>
      <c r="R100" s="20"/>
      <c r="S100" s="20"/>
      <c r="T100" s="20"/>
      <c r="U100" s="20"/>
      <c r="V100" s="20"/>
      <c r="W100" s="20"/>
      <c r="X100" s="20"/>
      <c r="Y100" s="20"/>
      <c r="Z100" s="20"/>
    </row>
    <row r="101" spans="1:26" ht="15.75" customHeight="1">
      <c r="A101" s="40"/>
      <c r="B101" s="16"/>
      <c r="C101" s="63"/>
      <c r="D101" s="63"/>
      <c r="E101" s="63"/>
      <c r="F101" s="63"/>
      <c r="G101" s="62">
        <f>SUM(G5:G91)</f>
        <v>213</v>
      </c>
      <c r="H101" s="64"/>
      <c r="I101" s="65"/>
      <c r="J101" s="64"/>
      <c r="K101" s="64"/>
      <c r="L101" s="62"/>
    </row>
    <row r="102" spans="1:26" ht="15.75" customHeight="1">
      <c r="A102" s="40"/>
      <c r="B102" s="67"/>
      <c r="C102" s="63"/>
      <c r="D102" s="63"/>
      <c r="E102" s="63"/>
      <c r="F102" s="63"/>
      <c r="G102" s="66"/>
      <c r="H102" s="66"/>
      <c r="I102" s="66"/>
      <c r="J102" s="66"/>
      <c r="K102" s="66"/>
      <c r="L102" s="68"/>
    </row>
    <row r="103" spans="1:26" ht="15.75" customHeight="1">
      <c r="A103" s="18"/>
      <c r="B103" s="12"/>
      <c r="C103" s="19"/>
      <c r="D103" s="19"/>
      <c r="E103" s="19"/>
      <c r="F103" s="19"/>
      <c r="L103" s="11"/>
    </row>
    <row r="104" spans="1:26" ht="15.75" customHeight="1">
      <c r="A104" s="18"/>
      <c r="B104" s="9"/>
      <c r="C104" s="19"/>
      <c r="D104" s="19"/>
      <c r="E104" s="19"/>
      <c r="F104" s="19"/>
      <c r="L104" s="11"/>
    </row>
    <row r="105" spans="1:26" ht="15.75" customHeight="1">
      <c r="A105" s="18"/>
      <c r="B105" s="12"/>
      <c r="C105" s="19"/>
      <c r="D105" s="19"/>
      <c r="E105" s="19"/>
      <c r="F105" s="19"/>
      <c r="L105" s="11"/>
    </row>
    <row r="106" spans="1:26" ht="15.75" customHeight="1">
      <c r="A106" s="18"/>
      <c r="B106" s="12"/>
      <c r="C106" s="19"/>
      <c r="D106" s="19"/>
      <c r="E106" s="19"/>
      <c r="F106" s="19"/>
      <c r="L106" s="11"/>
    </row>
    <row r="107" spans="1:26" ht="15.75" customHeight="1">
      <c r="A107" s="18"/>
      <c r="B107" s="12"/>
      <c r="C107" s="19"/>
      <c r="D107" s="19"/>
      <c r="E107" s="19"/>
      <c r="F107" s="19"/>
      <c r="L107" s="11"/>
    </row>
    <row r="108" spans="1:26" ht="15.75" customHeight="1">
      <c r="A108" s="18"/>
      <c r="B108" s="12"/>
      <c r="C108" s="19"/>
      <c r="D108" s="19"/>
      <c r="E108" s="19"/>
      <c r="F108" s="19"/>
      <c r="L108" s="11"/>
    </row>
    <row r="109" spans="1:26" ht="15.75" customHeight="1">
      <c r="A109" s="18"/>
      <c r="B109" s="12"/>
      <c r="C109" s="19"/>
      <c r="D109" s="19"/>
      <c r="E109" s="19"/>
      <c r="F109" s="19"/>
      <c r="L109" s="11"/>
    </row>
    <row r="110" spans="1:26" ht="15.75" customHeight="1">
      <c r="A110" s="18"/>
      <c r="B110" s="12"/>
      <c r="C110" s="19"/>
      <c r="D110" s="19"/>
      <c r="E110" s="19"/>
      <c r="F110" s="19"/>
      <c r="L110" s="11"/>
    </row>
    <row r="111" spans="1:26" ht="15.75" customHeight="1">
      <c r="A111" s="18"/>
      <c r="B111" s="12"/>
      <c r="C111" s="19"/>
      <c r="D111" s="19"/>
      <c r="E111" s="19"/>
      <c r="F111" s="19"/>
      <c r="L111" s="11"/>
    </row>
    <row r="112" spans="1:26" ht="15.75" customHeight="1">
      <c r="A112" s="18"/>
      <c r="B112" s="12"/>
      <c r="C112" s="19"/>
      <c r="D112" s="19"/>
      <c r="E112" s="19"/>
      <c r="F112" s="19"/>
      <c r="L112" s="11"/>
    </row>
    <row r="113" spans="1:12" ht="15.75" customHeight="1">
      <c r="A113" s="18"/>
      <c r="B113" s="12"/>
      <c r="C113" s="19"/>
      <c r="D113" s="19"/>
      <c r="E113" s="19"/>
      <c r="F113" s="19"/>
      <c r="L113" s="11"/>
    </row>
    <row r="114" spans="1:12" ht="15.75" customHeight="1">
      <c r="A114" s="18"/>
      <c r="B114" s="12"/>
      <c r="C114" s="19"/>
      <c r="D114" s="19"/>
      <c r="E114" s="19"/>
      <c r="F114" s="19"/>
      <c r="L114" s="11"/>
    </row>
    <row r="115" spans="1:12" ht="15.75" customHeight="1">
      <c r="A115" s="18"/>
      <c r="B115" s="12"/>
      <c r="C115" s="19"/>
      <c r="D115" s="19"/>
      <c r="E115" s="19"/>
      <c r="F115" s="19"/>
      <c r="L115" s="11"/>
    </row>
    <row r="116" spans="1:12" ht="15.75" customHeight="1">
      <c r="A116" s="18"/>
      <c r="B116" s="12"/>
      <c r="C116" s="19"/>
      <c r="D116" s="19"/>
      <c r="E116" s="19"/>
      <c r="F116" s="19"/>
      <c r="L116" s="11"/>
    </row>
    <row r="117" spans="1:12" ht="15.75" customHeight="1">
      <c r="A117" s="18"/>
      <c r="B117" s="12"/>
      <c r="C117" s="19"/>
      <c r="D117" s="19"/>
      <c r="E117" s="19"/>
      <c r="F117" s="19"/>
      <c r="L117" s="11"/>
    </row>
    <row r="118" spans="1:12" ht="15.75" customHeight="1">
      <c r="A118" s="18"/>
      <c r="B118" s="12"/>
      <c r="C118" s="19"/>
      <c r="D118" s="19"/>
      <c r="E118" s="19"/>
      <c r="F118" s="19"/>
      <c r="L118" s="11"/>
    </row>
    <row r="119" spans="1:12" ht="15.75" customHeight="1">
      <c r="A119" s="18"/>
      <c r="B119" s="12"/>
      <c r="C119" s="19"/>
      <c r="D119" s="19"/>
      <c r="E119" s="19"/>
      <c r="F119" s="19"/>
      <c r="L119" s="11"/>
    </row>
    <row r="120" spans="1:12" ht="15.75" customHeight="1">
      <c r="A120" s="18"/>
      <c r="B120" s="12"/>
      <c r="C120" s="19"/>
      <c r="D120" s="19"/>
      <c r="E120" s="19"/>
      <c r="F120" s="19"/>
      <c r="L120" s="11"/>
    </row>
    <row r="121" spans="1:12" ht="15.75" customHeight="1">
      <c r="A121" s="18"/>
      <c r="B121" s="12"/>
      <c r="C121" s="19"/>
      <c r="D121" s="19"/>
      <c r="E121" s="19"/>
      <c r="F121" s="19"/>
      <c r="L121" s="11"/>
    </row>
    <row r="122" spans="1:12" ht="15.75" customHeight="1">
      <c r="A122" s="18"/>
      <c r="B122" s="12"/>
      <c r="C122" s="19"/>
      <c r="D122" s="19"/>
      <c r="E122" s="19"/>
      <c r="F122" s="19"/>
      <c r="L122" s="11"/>
    </row>
    <row r="123" spans="1:12" ht="15.75" customHeight="1">
      <c r="A123" s="18"/>
      <c r="B123" s="12"/>
      <c r="C123" s="19"/>
      <c r="D123" s="19"/>
      <c r="E123" s="19"/>
      <c r="F123" s="19"/>
      <c r="L123" s="11"/>
    </row>
    <row r="124" spans="1:12" ht="15.75" customHeight="1">
      <c r="A124" s="18"/>
      <c r="B124" s="12"/>
      <c r="C124" s="19"/>
      <c r="D124" s="19"/>
      <c r="E124" s="19"/>
      <c r="F124" s="19"/>
      <c r="L124" s="11"/>
    </row>
    <row r="125" spans="1:12" ht="15.75" customHeight="1">
      <c r="A125" s="18"/>
      <c r="B125" s="12"/>
      <c r="C125" s="19"/>
      <c r="D125" s="19"/>
      <c r="E125" s="19"/>
      <c r="F125" s="19"/>
      <c r="L125" s="11"/>
    </row>
    <row r="126" spans="1:12" ht="15.75" customHeight="1">
      <c r="A126" s="18"/>
      <c r="B126" s="12"/>
      <c r="C126" s="19"/>
      <c r="D126" s="19"/>
      <c r="E126" s="19"/>
      <c r="F126" s="19"/>
      <c r="L126" s="11"/>
    </row>
    <row r="127" spans="1:12" ht="15.75" customHeight="1">
      <c r="A127" s="18"/>
      <c r="B127" s="12"/>
      <c r="C127" s="19"/>
      <c r="D127" s="19"/>
      <c r="E127" s="19"/>
      <c r="F127" s="19"/>
      <c r="L127" s="11"/>
    </row>
    <row r="128" spans="1:12" ht="15.75" customHeight="1">
      <c r="A128" s="18"/>
      <c r="B128" s="12"/>
      <c r="C128" s="19"/>
      <c r="D128" s="19"/>
      <c r="E128" s="19"/>
      <c r="F128" s="19"/>
      <c r="L128" s="11"/>
    </row>
    <row r="129" spans="1:12" ht="15.75" customHeight="1">
      <c r="A129" s="18"/>
      <c r="B129" s="12"/>
      <c r="C129" s="19"/>
      <c r="D129" s="19"/>
      <c r="E129" s="19"/>
      <c r="F129" s="19"/>
      <c r="L129" s="11"/>
    </row>
    <row r="130" spans="1:12" ht="15.75" customHeight="1">
      <c r="A130" s="18"/>
      <c r="B130" s="12"/>
      <c r="C130" s="19"/>
      <c r="D130" s="19"/>
      <c r="E130" s="19"/>
      <c r="F130" s="19"/>
      <c r="L130" s="11"/>
    </row>
    <row r="131" spans="1:12" ht="15.75" customHeight="1">
      <c r="A131" s="18"/>
      <c r="B131" s="12"/>
      <c r="C131" s="19"/>
      <c r="D131" s="19"/>
      <c r="E131" s="19"/>
      <c r="F131" s="19"/>
      <c r="L131" s="11"/>
    </row>
    <row r="132" spans="1:12" ht="15.75" customHeight="1">
      <c r="A132" s="18"/>
      <c r="B132" s="12"/>
      <c r="C132" s="19"/>
      <c r="D132" s="19"/>
      <c r="E132" s="19"/>
      <c r="F132" s="19"/>
      <c r="L132" s="11"/>
    </row>
    <row r="133" spans="1:12" ht="15.75" customHeight="1">
      <c r="A133" s="18"/>
      <c r="B133" s="12"/>
      <c r="C133" s="19"/>
      <c r="D133" s="19"/>
      <c r="E133" s="19"/>
      <c r="F133" s="19"/>
      <c r="L133" s="11"/>
    </row>
    <row r="134" spans="1:12" ht="15.75" customHeight="1">
      <c r="A134" s="18"/>
      <c r="B134" s="12"/>
      <c r="C134" s="19"/>
      <c r="D134" s="19"/>
      <c r="E134" s="19"/>
      <c r="F134" s="19"/>
      <c r="L134" s="11"/>
    </row>
    <row r="135" spans="1:12" ht="15.75" customHeight="1">
      <c r="A135" s="18"/>
      <c r="B135" s="12"/>
      <c r="C135" s="19"/>
      <c r="D135" s="19"/>
      <c r="E135" s="19"/>
      <c r="F135" s="19"/>
      <c r="L135" s="11"/>
    </row>
    <row r="136" spans="1:12" ht="15.75" customHeight="1">
      <c r="A136" s="18"/>
      <c r="B136" s="12"/>
      <c r="C136" s="19"/>
      <c r="D136" s="19"/>
      <c r="E136" s="19"/>
      <c r="F136" s="19"/>
      <c r="L136" s="11"/>
    </row>
    <row r="137" spans="1:12" ht="15.75" customHeight="1">
      <c r="A137" s="18"/>
      <c r="B137" s="12"/>
      <c r="C137" s="19"/>
      <c r="D137" s="19"/>
      <c r="E137" s="19"/>
      <c r="F137" s="19"/>
      <c r="L137" s="11"/>
    </row>
    <row r="138" spans="1:12" ht="15.75" customHeight="1">
      <c r="A138" s="18"/>
      <c r="B138" s="12"/>
      <c r="C138" s="19"/>
      <c r="D138" s="19"/>
      <c r="E138" s="19"/>
      <c r="F138" s="19"/>
      <c r="L138" s="11"/>
    </row>
    <row r="139" spans="1:12" ht="15.75" customHeight="1">
      <c r="A139" s="18"/>
      <c r="B139" s="12"/>
      <c r="C139" s="19"/>
      <c r="D139" s="19"/>
      <c r="E139" s="19"/>
      <c r="F139" s="19"/>
      <c r="L139" s="11"/>
    </row>
    <row r="140" spans="1:12" ht="15.75" customHeight="1">
      <c r="A140" s="18"/>
      <c r="B140" s="12"/>
      <c r="C140" s="19"/>
      <c r="D140" s="19"/>
      <c r="E140" s="19"/>
      <c r="F140" s="19"/>
      <c r="L140" s="11"/>
    </row>
    <row r="141" spans="1:12" ht="15.75" customHeight="1">
      <c r="A141" s="18"/>
      <c r="B141" s="12"/>
      <c r="C141" s="19"/>
      <c r="D141" s="19"/>
      <c r="E141" s="19"/>
      <c r="F141" s="19"/>
      <c r="L141" s="11"/>
    </row>
    <row r="142" spans="1:12" ht="15.75" customHeight="1">
      <c r="A142" s="18"/>
      <c r="B142" s="12"/>
      <c r="C142" s="19"/>
      <c r="D142" s="19"/>
      <c r="E142" s="19"/>
      <c r="F142" s="19"/>
      <c r="L142" s="11"/>
    </row>
    <row r="143" spans="1:12" ht="15.75" customHeight="1">
      <c r="A143" s="18"/>
      <c r="B143" s="12"/>
      <c r="C143" s="19"/>
      <c r="D143" s="19"/>
      <c r="E143" s="19"/>
      <c r="F143" s="19"/>
      <c r="L143" s="11"/>
    </row>
    <row r="144" spans="1:12" ht="15.75" customHeight="1">
      <c r="A144" s="18"/>
      <c r="B144" s="12"/>
      <c r="C144" s="19"/>
      <c r="D144" s="19"/>
      <c r="E144" s="19"/>
      <c r="F144" s="19"/>
      <c r="L144" s="11"/>
    </row>
    <row r="145" spans="1:12" ht="15.75" customHeight="1">
      <c r="A145" s="18"/>
      <c r="B145" s="12"/>
      <c r="C145" s="19"/>
      <c r="D145" s="19"/>
      <c r="E145" s="19"/>
      <c r="F145" s="19"/>
      <c r="L145" s="11"/>
    </row>
    <row r="146" spans="1:12" ht="15.75" customHeight="1">
      <c r="A146" s="18"/>
      <c r="B146" s="12"/>
      <c r="C146" s="19"/>
      <c r="D146" s="19"/>
      <c r="E146" s="19"/>
      <c r="F146" s="19"/>
      <c r="L146" s="11"/>
    </row>
    <row r="147" spans="1:12" ht="15.75" customHeight="1">
      <c r="A147" s="18"/>
      <c r="B147" s="12"/>
      <c r="C147" s="19"/>
      <c r="D147" s="19"/>
      <c r="E147" s="19"/>
      <c r="F147" s="19"/>
      <c r="L147" s="11"/>
    </row>
    <row r="148" spans="1:12" ht="15.75" customHeight="1">
      <c r="A148" s="18"/>
      <c r="B148" s="12"/>
      <c r="C148" s="19"/>
      <c r="D148" s="19"/>
      <c r="E148" s="19"/>
      <c r="F148" s="19"/>
      <c r="L148" s="11"/>
    </row>
    <row r="149" spans="1:12" ht="15.75" customHeight="1">
      <c r="A149" s="18"/>
      <c r="B149" s="12"/>
      <c r="C149" s="19"/>
      <c r="D149" s="19"/>
      <c r="E149" s="19"/>
      <c r="F149" s="19"/>
      <c r="L149" s="11"/>
    </row>
    <row r="150" spans="1:12" ht="15.75" customHeight="1">
      <c r="A150" s="18"/>
      <c r="B150" s="12"/>
      <c r="C150" s="19"/>
      <c r="D150" s="19"/>
      <c r="E150" s="19"/>
      <c r="F150" s="19"/>
      <c r="L150" s="11"/>
    </row>
    <row r="151" spans="1:12" ht="15.75" customHeight="1">
      <c r="A151" s="18"/>
      <c r="B151" s="12"/>
      <c r="C151" s="19"/>
      <c r="D151" s="19"/>
      <c r="E151" s="19"/>
      <c r="F151" s="19"/>
      <c r="L151" s="11"/>
    </row>
    <row r="152" spans="1:12" ht="15.75" customHeight="1">
      <c r="A152" s="18"/>
      <c r="B152" s="12"/>
      <c r="C152" s="19"/>
      <c r="D152" s="19"/>
      <c r="E152" s="19"/>
      <c r="F152" s="19"/>
      <c r="L152" s="11"/>
    </row>
    <row r="153" spans="1:12" ht="15.75" customHeight="1">
      <c r="A153" s="18"/>
      <c r="B153" s="12"/>
      <c r="C153" s="19"/>
      <c r="D153" s="19"/>
      <c r="E153" s="19"/>
      <c r="F153" s="19"/>
      <c r="L153" s="11"/>
    </row>
    <row r="154" spans="1:12" ht="15.75" customHeight="1">
      <c r="A154" s="18"/>
      <c r="B154" s="12"/>
      <c r="C154" s="19"/>
      <c r="D154" s="19"/>
      <c r="E154" s="19"/>
      <c r="F154" s="19"/>
      <c r="L154" s="11"/>
    </row>
    <row r="155" spans="1:12" ht="15.75" customHeight="1">
      <c r="A155" s="18"/>
      <c r="B155" s="12"/>
      <c r="C155" s="19"/>
      <c r="D155" s="19"/>
      <c r="E155" s="19"/>
      <c r="F155" s="19"/>
      <c r="L155" s="11"/>
    </row>
    <row r="156" spans="1:12" ht="15.75" customHeight="1">
      <c r="A156" s="18"/>
      <c r="B156" s="12"/>
      <c r="C156" s="19"/>
      <c r="D156" s="19"/>
      <c r="E156" s="19"/>
      <c r="F156" s="19"/>
      <c r="L156" s="11"/>
    </row>
    <row r="157" spans="1:12" ht="15.75" customHeight="1">
      <c r="A157" s="18"/>
      <c r="B157" s="12"/>
      <c r="C157" s="19"/>
      <c r="D157" s="19"/>
      <c r="E157" s="19"/>
      <c r="F157" s="19"/>
      <c r="L157" s="11"/>
    </row>
    <row r="158" spans="1:12" ht="15.75" customHeight="1">
      <c r="A158" s="18"/>
      <c r="B158" s="12"/>
      <c r="C158" s="19"/>
      <c r="D158" s="19"/>
      <c r="E158" s="19"/>
      <c r="F158" s="19"/>
      <c r="L158" s="11"/>
    </row>
    <row r="159" spans="1:12" ht="15.75" customHeight="1">
      <c r="A159" s="18"/>
      <c r="B159" s="12"/>
      <c r="C159" s="19"/>
      <c r="D159" s="19"/>
      <c r="E159" s="19"/>
      <c r="F159" s="19"/>
      <c r="L159" s="11"/>
    </row>
    <row r="160" spans="1:12" ht="15.75" customHeight="1">
      <c r="A160" s="18"/>
      <c r="B160" s="12"/>
      <c r="C160" s="19"/>
      <c r="D160" s="19"/>
      <c r="E160" s="19"/>
      <c r="F160" s="19"/>
      <c r="L160" s="11"/>
    </row>
    <row r="161" spans="1:12" ht="15.75" customHeight="1">
      <c r="A161" s="18"/>
      <c r="B161" s="12"/>
      <c r="C161" s="19"/>
      <c r="D161" s="19"/>
      <c r="E161" s="19"/>
      <c r="F161" s="19"/>
      <c r="L161" s="11"/>
    </row>
    <row r="162" spans="1:12" ht="15.75" customHeight="1">
      <c r="A162" s="18"/>
      <c r="B162" s="12"/>
      <c r="C162" s="19"/>
      <c r="D162" s="19"/>
      <c r="E162" s="19"/>
      <c r="F162" s="19"/>
      <c r="L162" s="11"/>
    </row>
    <row r="163" spans="1:12" ht="15.75" customHeight="1">
      <c r="A163" s="18"/>
      <c r="B163" s="12"/>
      <c r="C163" s="19"/>
      <c r="D163" s="19"/>
      <c r="E163" s="19"/>
      <c r="F163" s="19"/>
      <c r="L163" s="11"/>
    </row>
    <row r="164" spans="1:12" ht="15.75" customHeight="1">
      <c r="A164" s="18"/>
      <c r="B164" s="12"/>
      <c r="C164" s="19"/>
      <c r="D164" s="19"/>
      <c r="E164" s="19"/>
      <c r="F164" s="19"/>
      <c r="L164" s="11"/>
    </row>
    <row r="165" spans="1:12" ht="15.75" customHeight="1">
      <c r="A165" s="18"/>
      <c r="B165" s="12"/>
      <c r="C165" s="19"/>
      <c r="D165" s="19"/>
      <c r="E165" s="19"/>
      <c r="F165" s="19"/>
      <c r="L165" s="11"/>
    </row>
    <row r="166" spans="1:12" ht="15.75" customHeight="1">
      <c r="A166" s="18"/>
      <c r="B166" s="12"/>
      <c r="C166" s="19"/>
      <c r="D166" s="19"/>
      <c r="E166" s="19"/>
      <c r="F166" s="19"/>
      <c r="L166" s="11"/>
    </row>
    <row r="167" spans="1:12" ht="15.75" customHeight="1">
      <c r="A167" s="18"/>
      <c r="B167" s="12"/>
      <c r="C167" s="19"/>
      <c r="D167" s="19"/>
      <c r="E167" s="19"/>
      <c r="F167" s="19"/>
      <c r="L167" s="11"/>
    </row>
    <row r="168" spans="1:12" ht="15.75" customHeight="1">
      <c r="A168" s="18"/>
      <c r="B168" s="12"/>
      <c r="C168" s="19"/>
      <c r="D168" s="19"/>
      <c r="E168" s="19"/>
      <c r="F168" s="19"/>
      <c r="L168" s="11"/>
    </row>
    <row r="169" spans="1:12" ht="15.75" customHeight="1">
      <c r="A169" s="18"/>
      <c r="B169" s="12"/>
      <c r="C169" s="19"/>
      <c r="D169" s="19"/>
      <c r="E169" s="19"/>
      <c r="F169" s="19"/>
      <c r="L169" s="11"/>
    </row>
    <row r="170" spans="1:12" ht="15.75" customHeight="1">
      <c r="A170" s="18"/>
      <c r="B170" s="12"/>
      <c r="C170" s="19"/>
      <c r="D170" s="19"/>
      <c r="E170" s="19"/>
      <c r="F170" s="19"/>
      <c r="L170" s="11"/>
    </row>
    <row r="171" spans="1:12" ht="15.75" customHeight="1">
      <c r="A171" s="18"/>
      <c r="B171" s="12"/>
      <c r="C171" s="19"/>
      <c r="D171" s="19"/>
      <c r="E171" s="19"/>
      <c r="F171" s="19"/>
      <c r="L171" s="11"/>
    </row>
    <row r="172" spans="1:12" ht="15.75" customHeight="1">
      <c r="A172" s="18"/>
      <c r="B172" s="12"/>
      <c r="C172" s="19"/>
      <c r="D172" s="19"/>
      <c r="E172" s="19"/>
      <c r="F172" s="19"/>
      <c r="L172" s="11"/>
    </row>
    <row r="173" spans="1:12" ht="15.75" customHeight="1">
      <c r="A173" s="18"/>
      <c r="B173" s="12"/>
      <c r="C173" s="19"/>
      <c r="D173" s="19"/>
      <c r="E173" s="19"/>
      <c r="F173" s="19"/>
      <c r="L173" s="11"/>
    </row>
    <row r="174" spans="1:12" ht="15.75" customHeight="1">
      <c r="A174" s="18"/>
      <c r="B174" s="12"/>
      <c r="C174" s="19"/>
      <c r="D174" s="19"/>
      <c r="E174" s="19"/>
      <c r="F174" s="19"/>
      <c r="L174" s="11"/>
    </row>
    <row r="175" spans="1:12" ht="15.75" customHeight="1">
      <c r="A175" s="18"/>
      <c r="B175" s="12"/>
      <c r="C175" s="19"/>
      <c r="D175" s="19"/>
      <c r="E175" s="19"/>
      <c r="F175" s="19"/>
      <c r="L175" s="11"/>
    </row>
    <row r="176" spans="1:12" ht="15.75" customHeight="1">
      <c r="A176" s="18"/>
      <c r="B176" s="12"/>
      <c r="C176" s="19"/>
      <c r="D176" s="19"/>
      <c r="E176" s="19"/>
      <c r="F176" s="19"/>
      <c r="L176" s="11"/>
    </row>
    <row r="177" spans="1:12" ht="15.75" customHeight="1">
      <c r="A177" s="18"/>
      <c r="B177" s="12"/>
      <c r="C177" s="19"/>
      <c r="D177" s="19"/>
      <c r="E177" s="19"/>
      <c r="F177" s="19"/>
      <c r="L177" s="11"/>
    </row>
    <row r="178" spans="1:12" ht="15.75" customHeight="1">
      <c r="A178" s="18"/>
      <c r="B178" s="12"/>
      <c r="C178" s="19"/>
      <c r="D178" s="19"/>
      <c r="E178" s="19"/>
      <c r="F178" s="19"/>
      <c r="L178" s="11"/>
    </row>
    <row r="179" spans="1:12" ht="15.75" customHeight="1">
      <c r="A179" s="18"/>
      <c r="B179" s="12"/>
      <c r="C179" s="19"/>
      <c r="D179" s="19"/>
      <c r="E179" s="19"/>
      <c r="F179" s="19"/>
      <c r="L179" s="11"/>
    </row>
    <row r="180" spans="1:12" ht="15.75" customHeight="1">
      <c r="A180" s="18"/>
      <c r="B180" s="12"/>
      <c r="C180" s="19"/>
      <c r="D180" s="19"/>
      <c r="E180" s="19"/>
      <c r="F180" s="19"/>
      <c r="L180" s="11"/>
    </row>
    <row r="181" spans="1:12" ht="15.75" customHeight="1">
      <c r="A181" s="18"/>
      <c r="B181" s="12"/>
      <c r="C181" s="19"/>
      <c r="D181" s="19"/>
      <c r="E181" s="19"/>
      <c r="F181" s="19"/>
      <c r="L181" s="11"/>
    </row>
    <row r="182" spans="1:12" ht="15.75" customHeight="1">
      <c r="A182" s="18"/>
      <c r="B182" s="12"/>
      <c r="C182" s="19"/>
      <c r="D182" s="19"/>
      <c r="E182" s="19"/>
      <c r="F182" s="19"/>
      <c r="L182" s="11"/>
    </row>
    <row r="183" spans="1:12" ht="15.75" customHeight="1">
      <c r="A183" s="18"/>
      <c r="B183" s="12"/>
      <c r="C183" s="19"/>
      <c r="D183" s="19"/>
      <c r="E183" s="19"/>
      <c r="F183" s="19"/>
      <c r="L183" s="11"/>
    </row>
    <row r="184" spans="1:12" ht="15.75" customHeight="1">
      <c r="A184" s="18"/>
      <c r="B184" s="12"/>
      <c r="C184" s="19"/>
      <c r="D184" s="19"/>
      <c r="E184" s="19"/>
      <c r="F184" s="19"/>
      <c r="L184" s="11"/>
    </row>
    <row r="185" spans="1:12" ht="15.75" customHeight="1">
      <c r="A185" s="18"/>
      <c r="B185" s="12"/>
      <c r="C185" s="19"/>
      <c r="D185" s="19"/>
      <c r="E185" s="19"/>
      <c r="F185" s="19"/>
      <c r="L185" s="11"/>
    </row>
    <row r="186" spans="1:12" ht="15.75" customHeight="1">
      <c r="A186" s="18"/>
      <c r="B186" s="12"/>
      <c r="C186" s="19"/>
      <c r="D186" s="19"/>
      <c r="E186" s="19"/>
      <c r="F186" s="19"/>
      <c r="L186" s="11"/>
    </row>
    <row r="187" spans="1:12" ht="15.75" customHeight="1">
      <c r="A187" s="18"/>
      <c r="B187" s="12"/>
      <c r="C187" s="19"/>
      <c r="D187" s="19"/>
      <c r="E187" s="19"/>
      <c r="F187" s="19"/>
      <c r="L187" s="11"/>
    </row>
    <row r="188" spans="1:12" ht="15.75" customHeight="1">
      <c r="A188" s="18"/>
      <c r="B188" s="12"/>
      <c r="C188" s="19"/>
      <c r="D188" s="19"/>
      <c r="E188" s="19"/>
      <c r="F188" s="19"/>
      <c r="L188" s="11"/>
    </row>
    <row r="189" spans="1:12" ht="15.75" customHeight="1">
      <c r="A189" s="18"/>
      <c r="B189" s="12"/>
      <c r="C189" s="19"/>
      <c r="D189" s="19"/>
      <c r="E189" s="19"/>
      <c r="F189" s="19"/>
      <c r="L189" s="11"/>
    </row>
    <row r="190" spans="1:12" ht="15.75" customHeight="1">
      <c r="A190" s="18"/>
      <c r="B190" s="12"/>
      <c r="C190" s="19"/>
      <c r="D190" s="19"/>
      <c r="E190" s="19"/>
      <c r="F190" s="19"/>
      <c r="L190" s="11"/>
    </row>
    <row r="191" spans="1:12" ht="15.75" customHeight="1">
      <c r="A191" s="18"/>
      <c r="B191" s="12"/>
      <c r="C191" s="19"/>
      <c r="D191" s="19"/>
      <c r="E191" s="19"/>
      <c r="F191" s="19"/>
      <c r="L191" s="11"/>
    </row>
    <row r="192" spans="1:12" ht="15.75" customHeight="1">
      <c r="A192" s="18"/>
      <c r="B192" s="12"/>
      <c r="C192" s="19"/>
      <c r="D192" s="19"/>
      <c r="E192" s="19"/>
      <c r="F192" s="19"/>
      <c r="L192" s="11"/>
    </row>
    <row r="193" spans="1:12" ht="15.75" customHeight="1">
      <c r="A193" s="18"/>
      <c r="B193" s="12"/>
      <c r="C193" s="19"/>
      <c r="D193" s="19"/>
      <c r="E193" s="19"/>
      <c r="F193" s="19"/>
      <c r="L193" s="11"/>
    </row>
    <row r="194" spans="1:12" ht="15.75" customHeight="1">
      <c r="A194" s="18"/>
      <c r="B194" s="12"/>
      <c r="C194" s="19"/>
      <c r="D194" s="19"/>
      <c r="E194" s="19"/>
      <c r="F194" s="19"/>
      <c r="L194" s="11"/>
    </row>
    <row r="195" spans="1:12" ht="15.75" customHeight="1">
      <c r="A195" s="18"/>
      <c r="B195" s="12"/>
      <c r="C195" s="19"/>
      <c r="D195" s="19"/>
      <c r="E195" s="19"/>
      <c r="F195" s="19"/>
      <c r="L195" s="11"/>
    </row>
    <row r="196" spans="1:12" ht="15.75" customHeight="1">
      <c r="A196" s="18"/>
      <c r="B196" s="12"/>
      <c r="C196" s="19"/>
      <c r="D196" s="19"/>
      <c r="E196" s="19"/>
      <c r="F196" s="19"/>
      <c r="L196" s="11"/>
    </row>
    <row r="197" spans="1:12" ht="15.75" customHeight="1">
      <c r="A197" s="18"/>
      <c r="B197" s="12"/>
      <c r="C197" s="19"/>
      <c r="D197" s="19"/>
      <c r="E197" s="19"/>
      <c r="F197" s="19"/>
      <c r="L197" s="11"/>
    </row>
    <row r="198" spans="1:12" ht="15.75" customHeight="1">
      <c r="A198" s="18"/>
      <c r="B198" s="12"/>
      <c r="C198" s="19"/>
      <c r="D198" s="19"/>
      <c r="E198" s="19"/>
      <c r="F198" s="19"/>
      <c r="L198" s="11"/>
    </row>
    <row r="199" spans="1:12" ht="15.75" customHeight="1">
      <c r="A199" s="18"/>
      <c r="B199" s="12"/>
      <c r="C199" s="19"/>
      <c r="D199" s="19"/>
      <c r="E199" s="19"/>
      <c r="F199" s="19"/>
      <c r="L199" s="11"/>
    </row>
    <row r="200" spans="1:12" ht="15.75" customHeight="1">
      <c r="A200" s="18"/>
      <c r="B200" s="12"/>
      <c r="C200" s="19"/>
      <c r="D200" s="19"/>
      <c r="E200" s="19"/>
      <c r="F200" s="19"/>
      <c r="L200" s="11"/>
    </row>
    <row r="201" spans="1:12" ht="15.75" customHeight="1">
      <c r="A201" s="18"/>
      <c r="B201" s="12"/>
      <c r="C201" s="19"/>
      <c r="D201" s="19"/>
      <c r="E201" s="19"/>
      <c r="F201" s="19"/>
      <c r="L201" s="11"/>
    </row>
    <row r="202" spans="1:12" ht="15.75" customHeight="1">
      <c r="A202" s="18"/>
      <c r="B202" s="12"/>
      <c r="C202" s="19"/>
      <c r="D202" s="19"/>
      <c r="E202" s="19"/>
      <c r="F202" s="19"/>
      <c r="L202" s="11"/>
    </row>
    <row r="203" spans="1:12" ht="15.75" customHeight="1">
      <c r="A203" s="18"/>
      <c r="B203" s="12"/>
      <c r="C203" s="19"/>
      <c r="D203" s="19"/>
      <c r="E203" s="19"/>
      <c r="F203" s="19"/>
      <c r="L203" s="11"/>
    </row>
    <row r="204" spans="1:12" ht="15.75" customHeight="1">
      <c r="A204" s="18"/>
      <c r="B204" s="12"/>
      <c r="C204" s="19"/>
      <c r="D204" s="19"/>
      <c r="E204" s="19"/>
      <c r="F204" s="19"/>
      <c r="L204" s="11"/>
    </row>
    <row r="205" spans="1:12" ht="15.75" customHeight="1">
      <c r="A205" s="18"/>
      <c r="B205" s="12"/>
      <c r="C205" s="19"/>
      <c r="D205" s="19"/>
      <c r="E205" s="19"/>
      <c r="F205" s="19"/>
      <c r="L205" s="11"/>
    </row>
    <row r="206" spans="1:12" ht="15.75" customHeight="1">
      <c r="A206" s="18"/>
      <c r="B206" s="12"/>
      <c r="C206" s="19"/>
      <c r="D206" s="19"/>
      <c r="E206" s="19"/>
      <c r="F206" s="19"/>
      <c r="L206" s="11"/>
    </row>
    <row r="207" spans="1:12" ht="15.75" customHeight="1">
      <c r="A207" s="18"/>
      <c r="B207" s="12"/>
      <c r="C207" s="19"/>
      <c r="D207" s="19"/>
      <c r="E207" s="19"/>
      <c r="F207" s="19"/>
      <c r="L207" s="11"/>
    </row>
    <row r="208" spans="1:12" ht="15.75" customHeight="1">
      <c r="A208" s="18"/>
      <c r="B208" s="12"/>
      <c r="C208" s="19"/>
      <c r="D208" s="19"/>
      <c r="E208" s="19"/>
      <c r="F208" s="19"/>
      <c r="L208" s="11"/>
    </row>
    <row r="209" spans="1:12" ht="15.75" customHeight="1">
      <c r="A209" s="18"/>
      <c r="B209" s="12"/>
      <c r="C209" s="19"/>
      <c r="D209" s="19"/>
      <c r="E209" s="19"/>
      <c r="F209" s="19"/>
      <c r="L209" s="11"/>
    </row>
    <row r="210" spans="1:12" ht="15.75" customHeight="1">
      <c r="A210" s="18"/>
      <c r="B210" s="12"/>
      <c r="C210" s="19"/>
      <c r="D210" s="19"/>
      <c r="E210" s="19"/>
      <c r="F210" s="19"/>
      <c r="L210" s="11"/>
    </row>
    <row r="211" spans="1:12" ht="15.75" customHeight="1">
      <c r="A211" s="18"/>
      <c r="B211" s="12"/>
      <c r="C211" s="19"/>
      <c r="D211" s="19"/>
      <c r="E211" s="19"/>
      <c r="F211" s="19"/>
      <c r="L211" s="11"/>
    </row>
    <row r="212" spans="1:12" ht="15.75" customHeight="1">
      <c r="A212" s="18"/>
      <c r="B212" s="12"/>
      <c r="C212" s="19"/>
      <c r="D212" s="19"/>
      <c r="E212" s="19"/>
      <c r="F212" s="19"/>
      <c r="L212" s="11"/>
    </row>
    <row r="213" spans="1:12" ht="15.75" customHeight="1">
      <c r="A213" s="18"/>
      <c r="B213" s="12"/>
      <c r="C213" s="19"/>
      <c r="D213" s="19"/>
      <c r="E213" s="19"/>
      <c r="F213" s="19"/>
      <c r="L213" s="11"/>
    </row>
    <row r="214" spans="1:12" ht="15.75" customHeight="1">
      <c r="A214" s="18"/>
      <c r="B214" s="12"/>
      <c r="C214" s="19"/>
      <c r="D214" s="19"/>
      <c r="E214" s="19"/>
      <c r="F214" s="19"/>
      <c r="L214" s="11"/>
    </row>
    <row r="215" spans="1:12" ht="15.75" customHeight="1">
      <c r="A215" s="18"/>
      <c r="B215" s="12"/>
      <c r="C215" s="19"/>
      <c r="D215" s="19"/>
      <c r="E215" s="19"/>
      <c r="F215" s="19"/>
      <c r="L215" s="11"/>
    </row>
    <row r="216" spans="1:12" ht="15.75" customHeight="1">
      <c r="A216" s="18"/>
      <c r="B216" s="12"/>
      <c r="C216" s="19"/>
      <c r="D216" s="19"/>
      <c r="E216" s="19"/>
      <c r="F216" s="19"/>
      <c r="L216" s="11"/>
    </row>
    <row r="217" spans="1:12" ht="15.75" customHeight="1">
      <c r="A217" s="18"/>
      <c r="B217" s="12"/>
      <c r="C217" s="19"/>
      <c r="D217" s="19"/>
      <c r="E217" s="19"/>
      <c r="F217" s="19"/>
      <c r="L217" s="11"/>
    </row>
    <row r="218" spans="1:12" ht="15.75" customHeight="1">
      <c r="A218" s="18"/>
      <c r="B218" s="12"/>
      <c r="C218" s="19"/>
      <c r="D218" s="19"/>
      <c r="E218" s="19"/>
      <c r="F218" s="19"/>
      <c r="L218" s="11"/>
    </row>
    <row r="219" spans="1:12" ht="15.75" customHeight="1">
      <c r="A219" s="18"/>
      <c r="B219" s="12"/>
      <c r="C219" s="19"/>
      <c r="D219" s="19"/>
      <c r="E219" s="19"/>
      <c r="F219" s="19"/>
      <c r="L219" s="11"/>
    </row>
    <row r="220" spans="1:12" ht="15.75" customHeight="1">
      <c r="A220" s="18"/>
      <c r="B220" s="12"/>
      <c r="C220" s="19"/>
      <c r="D220" s="19"/>
      <c r="E220" s="19"/>
      <c r="F220" s="19"/>
      <c r="L220" s="11"/>
    </row>
    <row r="221" spans="1:12" ht="15.75" customHeight="1">
      <c r="A221" s="18"/>
      <c r="B221" s="12"/>
      <c r="C221" s="19"/>
      <c r="D221" s="19"/>
      <c r="E221" s="19"/>
      <c r="F221" s="19"/>
      <c r="L221" s="11"/>
    </row>
    <row r="222" spans="1:12" ht="15.75" customHeight="1">
      <c r="A222" s="18"/>
      <c r="B222" s="12"/>
      <c r="C222" s="19"/>
      <c r="D222" s="19"/>
      <c r="E222" s="19"/>
      <c r="F222" s="19"/>
      <c r="L222" s="11"/>
    </row>
    <row r="223" spans="1:12" ht="15.75" customHeight="1">
      <c r="A223" s="18"/>
      <c r="B223" s="12"/>
      <c r="C223" s="19"/>
      <c r="D223" s="19"/>
      <c r="E223" s="19"/>
      <c r="F223" s="19"/>
      <c r="L223" s="11"/>
    </row>
    <row r="224" spans="1:12" ht="15.75" customHeight="1">
      <c r="A224" s="18"/>
      <c r="B224" s="12"/>
      <c r="C224" s="19"/>
      <c r="D224" s="19"/>
      <c r="E224" s="19"/>
      <c r="F224" s="19"/>
      <c r="L224" s="11"/>
    </row>
    <row r="225" spans="1:12" ht="15.75" customHeight="1">
      <c r="A225" s="18"/>
      <c r="B225" s="12"/>
      <c r="C225" s="19"/>
      <c r="D225" s="19"/>
      <c r="E225" s="19"/>
      <c r="F225" s="19"/>
      <c r="L225" s="11"/>
    </row>
    <row r="226" spans="1:12" ht="15.75" customHeight="1">
      <c r="A226" s="18"/>
      <c r="B226" s="12"/>
      <c r="C226" s="19"/>
      <c r="D226" s="19"/>
      <c r="E226" s="19"/>
      <c r="F226" s="19"/>
      <c r="L226" s="11"/>
    </row>
    <row r="227" spans="1:12" ht="15.75" customHeight="1">
      <c r="A227" s="18"/>
      <c r="B227" s="12"/>
      <c r="C227" s="19"/>
      <c r="D227" s="19"/>
      <c r="E227" s="19"/>
      <c r="F227" s="19"/>
      <c r="L227" s="11"/>
    </row>
    <row r="228" spans="1:12" ht="15.75" customHeight="1">
      <c r="A228" s="18"/>
      <c r="B228" s="12"/>
      <c r="C228" s="19"/>
      <c r="D228" s="19"/>
      <c r="E228" s="19"/>
      <c r="F228" s="19"/>
      <c r="L228" s="11"/>
    </row>
    <row r="229" spans="1:12" ht="15.75" customHeight="1">
      <c r="A229" s="18"/>
      <c r="B229" s="12"/>
      <c r="C229" s="19"/>
      <c r="D229" s="19"/>
      <c r="E229" s="19"/>
      <c r="F229" s="19"/>
      <c r="L229" s="11"/>
    </row>
    <row r="230" spans="1:12" ht="15.75" customHeight="1">
      <c r="A230" s="18"/>
      <c r="B230" s="12"/>
      <c r="C230" s="19"/>
      <c r="D230" s="19"/>
      <c r="E230" s="19"/>
      <c r="F230" s="19"/>
      <c r="L230" s="11"/>
    </row>
    <row r="231" spans="1:12" ht="15.75" customHeight="1">
      <c r="A231" s="18"/>
      <c r="B231" s="12"/>
      <c r="C231" s="19"/>
      <c r="D231" s="19"/>
      <c r="E231" s="19"/>
      <c r="F231" s="19"/>
      <c r="L231" s="11"/>
    </row>
    <row r="232" spans="1:12" ht="15.75" customHeight="1">
      <c r="A232" s="18"/>
      <c r="B232" s="12"/>
      <c r="C232" s="19"/>
      <c r="D232" s="19"/>
      <c r="E232" s="19"/>
      <c r="F232" s="19"/>
      <c r="L232" s="11"/>
    </row>
    <row r="233" spans="1:12" ht="15.75" customHeight="1">
      <c r="A233" s="18"/>
      <c r="B233" s="12"/>
      <c r="C233" s="19"/>
      <c r="D233" s="19"/>
      <c r="E233" s="19"/>
      <c r="F233" s="19"/>
      <c r="L233" s="11"/>
    </row>
    <row r="234" spans="1:12" ht="15.75" customHeight="1">
      <c r="A234" s="18"/>
      <c r="B234" s="12"/>
      <c r="C234" s="19"/>
      <c r="D234" s="19"/>
      <c r="E234" s="19"/>
      <c r="F234" s="19"/>
      <c r="L234" s="11"/>
    </row>
    <row r="235" spans="1:12" ht="15.75" customHeight="1">
      <c r="A235" s="18"/>
      <c r="B235" s="12"/>
      <c r="C235" s="19"/>
      <c r="D235" s="19"/>
      <c r="E235" s="19"/>
      <c r="F235" s="19"/>
      <c r="L235" s="11"/>
    </row>
    <row r="236" spans="1:12" ht="15.75" customHeight="1">
      <c r="A236" s="18"/>
      <c r="B236" s="12"/>
      <c r="C236" s="19"/>
      <c r="D236" s="19"/>
      <c r="E236" s="19"/>
      <c r="F236" s="19"/>
      <c r="L236" s="11"/>
    </row>
    <row r="237" spans="1:12" ht="15.75" customHeight="1">
      <c r="A237" s="18"/>
      <c r="B237" s="12"/>
      <c r="C237" s="19"/>
      <c r="D237" s="19"/>
      <c r="E237" s="19"/>
      <c r="F237" s="19"/>
      <c r="L237" s="11"/>
    </row>
    <row r="238" spans="1:12" ht="15.75" customHeight="1">
      <c r="A238" s="18"/>
      <c r="B238" s="12"/>
      <c r="C238" s="19"/>
      <c r="D238" s="19"/>
      <c r="E238" s="19"/>
      <c r="F238" s="19"/>
      <c r="L238" s="11"/>
    </row>
    <row r="239" spans="1:12" ht="15.75" customHeight="1">
      <c r="A239" s="18"/>
      <c r="B239" s="12"/>
      <c r="C239" s="19"/>
      <c r="D239" s="19"/>
      <c r="E239" s="19"/>
      <c r="F239" s="19"/>
      <c r="L239" s="11"/>
    </row>
    <row r="240" spans="1:12" ht="15.75" customHeight="1">
      <c r="A240" s="18"/>
      <c r="B240" s="12"/>
      <c r="C240" s="19"/>
      <c r="D240" s="19"/>
      <c r="E240" s="19"/>
      <c r="F240" s="19"/>
      <c r="L240" s="11"/>
    </row>
    <row r="241" spans="1:12" ht="15.75" customHeight="1">
      <c r="A241" s="18"/>
      <c r="B241" s="12"/>
      <c r="C241" s="19"/>
      <c r="D241" s="19"/>
      <c r="E241" s="19"/>
      <c r="F241" s="19"/>
      <c r="L241" s="11"/>
    </row>
    <row r="242" spans="1:12" ht="15.75" customHeight="1">
      <c r="A242" s="18"/>
      <c r="B242" s="12"/>
      <c r="C242" s="19"/>
      <c r="D242" s="19"/>
      <c r="E242" s="19"/>
      <c r="F242" s="19"/>
      <c r="L242" s="11"/>
    </row>
    <row r="243" spans="1:12" ht="15.75" customHeight="1">
      <c r="A243" s="18"/>
      <c r="B243" s="12"/>
      <c r="C243" s="19"/>
      <c r="D243" s="19"/>
      <c r="E243" s="19"/>
      <c r="F243" s="19"/>
      <c r="L243" s="11"/>
    </row>
    <row r="244" spans="1:12" ht="15.75" customHeight="1">
      <c r="A244" s="18"/>
      <c r="B244" s="12"/>
      <c r="C244" s="19"/>
      <c r="D244" s="19"/>
      <c r="E244" s="19"/>
      <c r="F244" s="19"/>
      <c r="L244" s="11"/>
    </row>
    <row r="245" spans="1:12" ht="15.75" customHeight="1">
      <c r="A245" s="18"/>
      <c r="B245" s="21"/>
      <c r="L245" s="11"/>
    </row>
    <row r="246" spans="1:12" ht="15.75" customHeight="1">
      <c r="A246" s="18"/>
      <c r="B246" s="21"/>
      <c r="L246" s="11"/>
    </row>
    <row r="247" spans="1:12" ht="15.75" customHeight="1">
      <c r="A247" s="18"/>
      <c r="B247" s="21"/>
      <c r="L247" s="11"/>
    </row>
    <row r="248" spans="1:12" ht="15.75" customHeight="1">
      <c r="A248" s="18"/>
      <c r="B248" s="21"/>
      <c r="L248" s="11"/>
    </row>
    <row r="249" spans="1:12" ht="15.75" customHeight="1">
      <c r="A249" s="18"/>
      <c r="B249" s="21"/>
      <c r="L249" s="11"/>
    </row>
    <row r="250" spans="1:12" ht="15.75" customHeight="1">
      <c r="A250" s="18"/>
      <c r="B250" s="21"/>
      <c r="L250" s="11"/>
    </row>
    <row r="251" spans="1:12" ht="15.75" customHeight="1">
      <c r="A251" s="18"/>
      <c r="B251" s="21"/>
      <c r="L251" s="11"/>
    </row>
    <row r="252" spans="1:12" ht="15.75" customHeight="1">
      <c r="A252" s="18"/>
      <c r="B252" s="21"/>
      <c r="L252" s="11"/>
    </row>
    <row r="253" spans="1:12" ht="15.75" customHeight="1">
      <c r="A253" s="18"/>
      <c r="B253" s="21"/>
      <c r="L253" s="11"/>
    </row>
    <row r="254" spans="1:12" ht="15.75" customHeight="1">
      <c r="A254" s="18"/>
      <c r="B254" s="21"/>
      <c r="L254" s="11"/>
    </row>
    <row r="255" spans="1:12" ht="15.75" customHeight="1">
      <c r="A255" s="18"/>
      <c r="B255" s="21"/>
      <c r="L255" s="11"/>
    </row>
    <row r="256" spans="1:12" ht="15.75" customHeight="1">
      <c r="A256" s="18"/>
      <c r="B256" s="21"/>
      <c r="L256" s="11"/>
    </row>
    <row r="257" spans="1:12" ht="15.75" customHeight="1">
      <c r="A257" s="18"/>
      <c r="B257" s="21"/>
      <c r="L257" s="11"/>
    </row>
    <row r="258" spans="1:12" ht="15.75" customHeight="1">
      <c r="A258" s="18"/>
      <c r="B258" s="21"/>
      <c r="L258" s="11"/>
    </row>
    <row r="259" spans="1:12" ht="15.75" customHeight="1">
      <c r="A259" s="18"/>
      <c r="B259" s="21"/>
      <c r="L259" s="11"/>
    </row>
    <row r="260" spans="1:12" ht="15.75" customHeight="1">
      <c r="A260" s="18"/>
      <c r="B260" s="21"/>
      <c r="L260" s="11"/>
    </row>
    <row r="261" spans="1:12" ht="15.75" customHeight="1">
      <c r="A261" s="18"/>
      <c r="B261" s="21"/>
      <c r="L261" s="11"/>
    </row>
    <row r="262" spans="1:12" ht="15.75" customHeight="1">
      <c r="A262" s="18"/>
      <c r="B262" s="21"/>
      <c r="L262" s="11"/>
    </row>
    <row r="263" spans="1:12" ht="15.75" customHeight="1">
      <c r="A263" s="18"/>
      <c r="B263" s="21"/>
      <c r="L263" s="11"/>
    </row>
    <row r="264" spans="1:12" ht="15.75" customHeight="1">
      <c r="A264" s="18"/>
      <c r="B264" s="21"/>
      <c r="L264" s="11"/>
    </row>
    <row r="265" spans="1:12" ht="15.75" customHeight="1">
      <c r="A265" s="18"/>
      <c r="B265" s="21"/>
      <c r="L265" s="11"/>
    </row>
    <row r="266" spans="1:12" ht="15.75" customHeight="1">
      <c r="A266" s="18"/>
      <c r="B266" s="21"/>
      <c r="L266" s="11"/>
    </row>
    <row r="267" spans="1:12" ht="15.75" customHeight="1">
      <c r="A267" s="18"/>
      <c r="B267" s="21"/>
      <c r="L267" s="11"/>
    </row>
    <row r="268" spans="1:12" ht="15.75" customHeight="1">
      <c r="A268" s="18"/>
      <c r="B268" s="21"/>
      <c r="L268" s="11"/>
    </row>
    <row r="269" spans="1:12" ht="15.75" customHeight="1">
      <c r="A269" s="18"/>
      <c r="B269" s="21"/>
      <c r="L269" s="11"/>
    </row>
    <row r="270" spans="1:12" ht="15.75" customHeight="1">
      <c r="A270" s="18"/>
      <c r="B270" s="21"/>
      <c r="L270" s="11"/>
    </row>
    <row r="271" spans="1:12" ht="15.75" customHeight="1">
      <c r="A271" s="18"/>
      <c r="B271" s="21"/>
      <c r="L271" s="11"/>
    </row>
    <row r="272" spans="1:12" ht="15.75" customHeight="1">
      <c r="A272" s="18"/>
      <c r="B272" s="21"/>
      <c r="L272" s="11"/>
    </row>
    <row r="273" spans="1:12" ht="15.75" customHeight="1">
      <c r="A273" s="18"/>
      <c r="B273" s="21"/>
      <c r="L273" s="11"/>
    </row>
    <row r="274" spans="1:12" ht="15.75" customHeight="1">
      <c r="A274" s="18"/>
      <c r="B274" s="21"/>
      <c r="L274" s="11"/>
    </row>
    <row r="275" spans="1:12" ht="15.75" customHeight="1">
      <c r="A275" s="18"/>
      <c r="B275" s="21"/>
      <c r="L275" s="11"/>
    </row>
    <row r="276" spans="1:12" ht="15.75" customHeight="1">
      <c r="A276" s="18"/>
      <c r="B276" s="21"/>
      <c r="L276" s="11"/>
    </row>
    <row r="277" spans="1:12" ht="15.75" customHeight="1">
      <c r="A277" s="18"/>
      <c r="B277" s="21"/>
      <c r="L277" s="11"/>
    </row>
    <row r="278" spans="1:12" ht="15.75" customHeight="1">
      <c r="A278" s="18"/>
      <c r="B278" s="21"/>
      <c r="L278" s="11"/>
    </row>
    <row r="279" spans="1:12" ht="15.75" customHeight="1">
      <c r="A279" s="18"/>
      <c r="B279" s="21"/>
      <c r="L279" s="11"/>
    </row>
    <row r="280" spans="1:12" ht="15.75" customHeight="1">
      <c r="A280" s="18"/>
      <c r="B280" s="21"/>
      <c r="L280" s="11"/>
    </row>
    <row r="281" spans="1:12" ht="15.75" customHeight="1">
      <c r="A281" s="18"/>
      <c r="B281" s="21"/>
      <c r="L281" s="11"/>
    </row>
    <row r="282" spans="1:12" ht="15.75" customHeight="1">
      <c r="A282" s="18"/>
      <c r="B282" s="21"/>
      <c r="L282" s="11"/>
    </row>
    <row r="283" spans="1:12" ht="15.75" customHeight="1">
      <c r="A283" s="18"/>
      <c r="B283" s="21"/>
      <c r="L283" s="11"/>
    </row>
    <row r="284" spans="1:12" ht="15.75" customHeight="1">
      <c r="A284" s="18"/>
      <c r="B284" s="21"/>
      <c r="L284" s="11"/>
    </row>
    <row r="285" spans="1:12" ht="15.75" customHeight="1">
      <c r="A285" s="18"/>
      <c r="B285" s="21"/>
      <c r="L285" s="11"/>
    </row>
    <row r="286" spans="1:12" ht="15.75" customHeight="1">
      <c r="A286" s="18"/>
      <c r="B286" s="21"/>
      <c r="L286" s="11"/>
    </row>
    <row r="287" spans="1:12" ht="15.75" customHeight="1">
      <c r="A287" s="18"/>
      <c r="B287" s="21"/>
      <c r="L287" s="11"/>
    </row>
    <row r="288" spans="1:12" ht="15.75" customHeight="1">
      <c r="A288" s="18"/>
      <c r="B288" s="21"/>
      <c r="L288" s="11"/>
    </row>
    <row r="289" spans="1:12" ht="15.75" customHeight="1">
      <c r="A289" s="18"/>
      <c r="B289" s="21"/>
      <c r="L289" s="11"/>
    </row>
    <row r="290" spans="1:12" ht="15.75" customHeight="1">
      <c r="A290" s="18"/>
      <c r="B290" s="21"/>
      <c r="L290" s="11"/>
    </row>
    <row r="291" spans="1:12" ht="15.75" customHeight="1">
      <c r="A291" s="18"/>
      <c r="B291" s="21"/>
      <c r="L291" s="11"/>
    </row>
    <row r="292" spans="1:12" ht="15.75" customHeight="1">
      <c r="A292" s="18"/>
      <c r="B292" s="21"/>
      <c r="L292" s="11"/>
    </row>
    <row r="293" spans="1:12" ht="15.75" customHeight="1">
      <c r="A293" s="18"/>
      <c r="B293" s="21"/>
      <c r="L293" s="11"/>
    </row>
    <row r="294" spans="1:12" ht="15.75" customHeight="1">
      <c r="A294" s="18"/>
      <c r="B294" s="21"/>
      <c r="L294" s="11"/>
    </row>
    <row r="295" spans="1:12" ht="15.75" customHeight="1">
      <c r="A295" s="18"/>
      <c r="B295" s="21"/>
      <c r="L295" s="11"/>
    </row>
    <row r="296" spans="1:12" ht="15.75" customHeight="1">
      <c r="A296" s="18"/>
      <c r="B296" s="21"/>
      <c r="L296" s="11"/>
    </row>
    <row r="297" spans="1:12" ht="15.75" customHeight="1">
      <c r="A297" s="18"/>
      <c r="B297" s="21"/>
      <c r="L297" s="11"/>
    </row>
    <row r="298" spans="1:12" ht="15.75" customHeight="1">
      <c r="A298" s="18"/>
      <c r="B298" s="21"/>
      <c r="L298" s="11"/>
    </row>
    <row r="299" spans="1:12" ht="15.75" customHeight="1">
      <c r="A299" s="18"/>
      <c r="B299" s="21"/>
      <c r="L299" s="11"/>
    </row>
    <row r="300" spans="1:12" ht="15.75" customHeight="1">
      <c r="A300" s="18"/>
      <c r="B300" s="21"/>
      <c r="L300" s="11"/>
    </row>
    <row r="301" spans="1:12" ht="15.75" customHeight="1">
      <c r="A301" s="18"/>
      <c r="B301" s="21"/>
      <c r="L301" s="11"/>
    </row>
    <row r="302" spans="1:12" ht="15.75" customHeight="1">
      <c r="A302" s="18"/>
      <c r="B302" s="21"/>
      <c r="L302" s="11"/>
    </row>
    <row r="303" spans="1:12" ht="15.75" customHeight="1">
      <c r="A303" s="18"/>
      <c r="B303" s="21"/>
      <c r="L303" s="11"/>
    </row>
    <row r="304" spans="1:12" ht="15.75" customHeight="1">
      <c r="A304" s="18"/>
      <c r="B304" s="21"/>
      <c r="L304" s="11"/>
    </row>
    <row r="305" spans="1:12" ht="15.75" customHeight="1">
      <c r="A305" s="18"/>
      <c r="B305" s="21"/>
      <c r="L305" s="11"/>
    </row>
    <row r="306" spans="1:12" ht="15.75" customHeight="1">
      <c r="A306" s="18"/>
      <c r="B306" s="21"/>
      <c r="L306" s="11"/>
    </row>
    <row r="307" spans="1:12" ht="15.75" customHeight="1">
      <c r="A307" s="18"/>
      <c r="B307" s="21"/>
      <c r="L307" s="11"/>
    </row>
    <row r="308" spans="1:12" ht="15.75" customHeight="1">
      <c r="A308" s="18"/>
      <c r="B308" s="21"/>
      <c r="L308" s="11"/>
    </row>
    <row r="309" spans="1:12" ht="15.75" customHeight="1">
      <c r="A309" s="18"/>
      <c r="B309" s="21"/>
      <c r="L309" s="11"/>
    </row>
    <row r="310" spans="1:12" ht="15.75" customHeight="1">
      <c r="A310" s="18"/>
      <c r="B310" s="21"/>
      <c r="L310" s="11"/>
    </row>
    <row r="311" spans="1:12" ht="15.75" customHeight="1">
      <c r="A311" s="18"/>
      <c r="B311" s="21"/>
      <c r="L311" s="11"/>
    </row>
    <row r="312" spans="1:12" ht="15.75" customHeight="1">
      <c r="A312" s="18"/>
      <c r="B312" s="21"/>
      <c r="L312" s="11"/>
    </row>
    <row r="313" spans="1:12" ht="15.75" customHeight="1">
      <c r="A313" s="18"/>
      <c r="B313" s="21"/>
      <c r="L313" s="11"/>
    </row>
    <row r="314" spans="1:12" ht="15.75" customHeight="1">
      <c r="A314" s="18"/>
      <c r="B314" s="21"/>
      <c r="L314" s="11"/>
    </row>
    <row r="315" spans="1:12" ht="15.75" customHeight="1">
      <c r="A315" s="18"/>
      <c r="B315" s="21"/>
      <c r="L315" s="11"/>
    </row>
    <row r="316" spans="1:12" ht="15.75" customHeight="1">
      <c r="A316" s="18"/>
      <c r="B316" s="21"/>
      <c r="L316" s="11"/>
    </row>
    <row r="317" spans="1:12" ht="15.75" customHeight="1">
      <c r="A317" s="18"/>
      <c r="B317" s="21"/>
      <c r="L317" s="11"/>
    </row>
    <row r="318" spans="1:12" ht="15.75" customHeight="1">
      <c r="A318" s="18"/>
      <c r="B318" s="21"/>
      <c r="L318" s="11"/>
    </row>
    <row r="319" spans="1:12" ht="15.75" customHeight="1">
      <c r="A319" s="18"/>
      <c r="B319" s="21"/>
      <c r="L319" s="11"/>
    </row>
    <row r="320" spans="1:12" ht="15.75" customHeight="1">
      <c r="A320" s="18"/>
      <c r="B320" s="21"/>
      <c r="L320" s="11"/>
    </row>
    <row r="321" spans="1:12" ht="15.75" customHeight="1">
      <c r="A321" s="18"/>
      <c r="B321" s="21"/>
      <c r="L321" s="11"/>
    </row>
    <row r="322" spans="1:12" ht="15.75" customHeight="1">
      <c r="A322" s="18"/>
      <c r="B322" s="21"/>
      <c r="L322" s="11"/>
    </row>
    <row r="323" spans="1:12" ht="15.75" customHeight="1">
      <c r="A323" s="18"/>
      <c r="B323" s="21"/>
      <c r="L323" s="11"/>
    </row>
    <row r="324" spans="1:12" ht="15.75" customHeight="1">
      <c r="A324" s="18"/>
      <c r="B324" s="21"/>
      <c r="L324" s="11"/>
    </row>
    <row r="325" spans="1:12" ht="15.75" customHeight="1">
      <c r="A325" s="18"/>
      <c r="B325" s="21"/>
      <c r="L325" s="11"/>
    </row>
    <row r="326" spans="1:12" ht="15.75" customHeight="1">
      <c r="A326" s="18"/>
      <c r="B326" s="21"/>
      <c r="L326" s="11"/>
    </row>
    <row r="327" spans="1:12" ht="15.75" customHeight="1">
      <c r="A327" s="18"/>
      <c r="B327" s="21"/>
      <c r="L327" s="11"/>
    </row>
    <row r="328" spans="1:12" ht="15.75" customHeight="1">
      <c r="A328" s="18"/>
      <c r="B328" s="21"/>
      <c r="L328" s="11"/>
    </row>
    <row r="329" spans="1:12" ht="15.75" customHeight="1">
      <c r="A329" s="18"/>
      <c r="B329" s="21"/>
      <c r="L329" s="11"/>
    </row>
    <row r="330" spans="1:12" ht="15.75" customHeight="1">
      <c r="A330" s="18"/>
      <c r="B330" s="21"/>
      <c r="L330" s="11"/>
    </row>
    <row r="331" spans="1:12" ht="15.75" customHeight="1">
      <c r="A331" s="18"/>
      <c r="B331" s="21"/>
      <c r="L331" s="11"/>
    </row>
    <row r="332" spans="1:12" ht="15.75" customHeight="1">
      <c r="A332" s="18"/>
      <c r="B332" s="21"/>
      <c r="L332" s="11"/>
    </row>
    <row r="333" spans="1:12" ht="15.75" customHeight="1">
      <c r="A333" s="18"/>
      <c r="B333" s="21"/>
      <c r="L333" s="11"/>
    </row>
    <row r="334" spans="1:12" ht="15.75" customHeight="1">
      <c r="A334" s="18"/>
      <c r="B334" s="21"/>
      <c r="L334" s="11"/>
    </row>
    <row r="335" spans="1:12" ht="15.75" customHeight="1">
      <c r="A335" s="18"/>
      <c r="B335" s="21"/>
      <c r="L335" s="11"/>
    </row>
    <row r="336" spans="1:12" ht="15.75" customHeight="1">
      <c r="A336" s="18"/>
      <c r="B336" s="21"/>
      <c r="L336" s="11"/>
    </row>
    <row r="337" spans="1:12" ht="15.75" customHeight="1">
      <c r="A337" s="18"/>
      <c r="B337" s="21"/>
      <c r="L337" s="11"/>
    </row>
    <row r="338" spans="1:12" ht="15.75" customHeight="1">
      <c r="A338" s="18"/>
      <c r="B338" s="21"/>
      <c r="L338" s="11"/>
    </row>
    <row r="339" spans="1:12" ht="15.75" customHeight="1">
      <c r="A339" s="18"/>
      <c r="B339" s="21"/>
      <c r="L339" s="11"/>
    </row>
    <row r="340" spans="1:12" ht="15.75" customHeight="1">
      <c r="A340" s="18"/>
      <c r="B340" s="21"/>
      <c r="L340" s="11"/>
    </row>
    <row r="341" spans="1:12" ht="15.75" customHeight="1">
      <c r="A341" s="18"/>
      <c r="B341" s="21"/>
      <c r="L341" s="11"/>
    </row>
    <row r="342" spans="1:12" ht="15.75" customHeight="1">
      <c r="A342" s="18"/>
      <c r="B342" s="21"/>
      <c r="L342" s="11"/>
    </row>
    <row r="343" spans="1:12" ht="15.75" customHeight="1">
      <c r="A343" s="18"/>
      <c r="B343" s="21"/>
      <c r="L343" s="11"/>
    </row>
    <row r="344" spans="1:12" ht="15.75" customHeight="1">
      <c r="A344" s="18"/>
      <c r="B344" s="21"/>
      <c r="L344" s="11"/>
    </row>
    <row r="345" spans="1:12" ht="15.75" customHeight="1">
      <c r="A345" s="18"/>
      <c r="B345" s="21"/>
      <c r="L345" s="11"/>
    </row>
    <row r="346" spans="1:12" ht="15.75" customHeight="1">
      <c r="A346" s="18"/>
      <c r="B346" s="21"/>
      <c r="L346" s="11"/>
    </row>
    <row r="347" spans="1:12" ht="15.75" customHeight="1">
      <c r="A347" s="18"/>
      <c r="B347" s="21"/>
      <c r="L347" s="11"/>
    </row>
    <row r="348" spans="1:12" ht="15.75" customHeight="1">
      <c r="A348" s="18"/>
      <c r="B348" s="21"/>
      <c r="L348" s="11"/>
    </row>
    <row r="349" spans="1:12" ht="15.75" customHeight="1">
      <c r="A349" s="18"/>
      <c r="B349" s="21"/>
      <c r="L349" s="11"/>
    </row>
    <row r="350" spans="1:12" ht="15.75" customHeight="1">
      <c r="A350" s="18"/>
      <c r="B350" s="21"/>
      <c r="L350" s="11"/>
    </row>
    <row r="351" spans="1:12" ht="15.75" customHeight="1">
      <c r="A351" s="18"/>
      <c r="B351" s="21"/>
      <c r="L351" s="11"/>
    </row>
    <row r="352" spans="1:12" ht="15.75" customHeight="1">
      <c r="A352" s="18"/>
      <c r="B352" s="21"/>
      <c r="L352" s="11"/>
    </row>
    <row r="353" spans="1:12" ht="15.75" customHeight="1">
      <c r="A353" s="18"/>
      <c r="B353" s="21"/>
      <c r="L353" s="11"/>
    </row>
    <row r="354" spans="1:12" ht="15.75" customHeight="1">
      <c r="A354" s="18"/>
      <c r="B354" s="21"/>
      <c r="L354" s="11"/>
    </row>
    <row r="355" spans="1:12" ht="15.75" customHeight="1">
      <c r="A355" s="18"/>
      <c r="B355" s="21"/>
      <c r="L355" s="11"/>
    </row>
    <row r="356" spans="1:12" ht="15.75" customHeight="1">
      <c r="A356" s="18"/>
      <c r="B356" s="21"/>
      <c r="L356" s="11"/>
    </row>
    <row r="357" spans="1:12" ht="15.75" customHeight="1">
      <c r="A357" s="18"/>
      <c r="B357" s="21"/>
      <c r="L357" s="11"/>
    </row>
    <row r="358" spans="1:12" ht="15.75" customHeight="1">
      <c r="A358" s="18"/>
      <c r="B358" s="21"/>
      <c r="L358" s="11"/>
    </row>
    <row r="359" spans="1:12" ht="15.75" customHeight="1">
      <c r="A359" s="18"/>
      <c r="B359" s="21"/>
      <c r="L359" s="11"/>
    </row>
    <row r="360" spans="1:12" ht="15.75" customHeight="1">
      <c r="A360" s="18"/>
      <c r="B360" s="21"/>
      <c r="L360" s="11"/>
    </row>
    <row r="361" spans="1:12" ht="15.75" customHeight="1">
      <c r="A361" s="18"/>
      <c r="B361" s="21"/>
      <c r="L361" s="11"/>
    </row>
    <row r="362" spans="1:12" ht="15.75" customHeight="1">
      <c r="A362" s="18"/>
      <c r="B362" s="21"/>
      <c r="L362" s="11"/>
    </row>
    <row r="363" spans="1:12" ht="15.75" customHeight="1">
      <c r="A363" s="18"/>
      <c r="B363" s="21"/>
      <c r="L363" s="11"/>
    </row>
    <row r="364" spans="1:12" ht="15.75" customHeight="1">
      <c r="A364" s="18"/>
      <c r="B364" s="21"/>
      <c r="L364" s="11"/>
    </row>
    <row r="365" spans="1:12" ht="15.75" customHeight="1">
      <c r="A365" s="18"/>
      <c r="B365" s="21"/>
      <c r="L365" s="11"/>
    </row>
    <row r="366" spans="1:12" ht="15.75" customHeight="1">
      <c r="A366" s="18"/>
      <c r="B366" s="21"/>
      <c r="L366" s="11"/>
    </row>
    <row r="367" spans="1:12" ht="15.75" customHeight="1">
      <c r="A367" s="18"/>
      <c r="B367" s="21"/>
      <c r="L367" s="11"/>
    </row>
    <row r="368" spans="1:12" ht="15.75" customHeight="1">
      <c r="A368" s="18"/>
      <c r="B368" s="21"/>
      <c r="L368" s="11"/>
    </row>
    <row r="369" spans="1:12" ht="15.75" customHeight="1">
      <c r="A369" s="18"/>
      <c r="B369" s="21"/>
      <c r="L369" s="11"/>
    </row>
    <row r="370" spans="1:12" ht="15.75" customHeight="1">
      <c r="A370" s="18"/>
      <c r="B370" s="21"/>
      <c r="L370" s="11"/>
    </row>
    <row r="371" spans="1:12" ht="15.75" customHeight="1">
      <c r="A371" s="18"/>
      <c r="B371" s="21"/>
      <c r="L371" s="11"/>
    </row>
    <row r="372" spans="1:12" ht="15.75" customHeight="1">
      <c r="A372" s="18"/>
      <c r="B372" s="21"/>
      <c r="L372" s="11"/>
    </row>
    <row r="373" spans="1:12" ht="15.75" customHeight="1">
      <c r="A373" s="18"/>
      <c r="B373" s="21"/>
      <c r="L373" s="11"/>
    </row>
    <row r="374" spans="1:12" ht="15.75" customHeight="1">
      <c r="A374" s="18"/>
      <c r="B374" s="21"/>
      <c r="L374" s="11"/>
    </row>
    <row r="375" spans="1:12" ht="15.75" customHeight="1">
      <c r="A375" s="18"/>
      <c r="B375" s="21"/>
      <c r="L375" s="11"/>
    </row>
    <row r="376" spans="1:12" ht="15.75" customHeight="1">
      <c r="A376" s="18"/>
      <c r="B376" s="21"/>
      <c r="L376" s="11"/>
    </row>
    <row r="377" spans="1:12" ht="15.75" customHeight="1">
      <c r="A377" s="18"/>
      <c r="B377" s="21"/>
      <c r="L377" s="11"/>
    </row>
    <row r="378" spans="1:12" ht="15.75" customHeight="1">
      <c r="A378" s="18"/>
      <c r="B378" s="21"/>
      <c r="L378" s="11"/>
    </row>
    <row r="379" spans="1:12" ht="15.75" customHeight="1">
      <c r="A379" s="18"/>
      <c r="B379" s="21"/>
      <c r="L379" s="11"/>
    </row>
    <row r="380" spans="1:12" ht="15.75" customHeight="1">
      <c r="A380" s="18"/>
      <c r="B380" s="21"/>
      <c r="L380" s="11"/>
    </row>
    <row r="381" spans="1:12" ht="15.75" customHeight="1">
      <c r="A381" s="18"/>
      <c r="B381" s="21"/>
      <c r="L381" s="11"/>
    </row>
    <row r="382" spans="1:12" ht="15.75" customHeight="1">
      <c r="A382" s="18"/>
      <c r="B382" s="21"/>
      <c r="L382" s="11"/>
    </row>
    <row r="383" spans="1:12" ht="15.75" customHeight="1">
      <c r="A383" s="18"/>
      <c r="B383" s="21"/>
      <c r="L383" s="11"/>
    </row>
    <row r="384" spans="1:12" ht="15.75" customHeight="1">
      <c r="A384" s="18"/>
      <c r="B384" s="21"/>
      <c r="L384" s="11"/>
    </row>
    <row r="385" spans="1:12" ht="15.75" customHeight="1">
      <c r="A385" s="18"/>
      <c r="B385" s="21"/>
      <c r="L385" s="11"/>
    </row>
    <row r="386" spans="1:12" ht="15.75" customHeight="1">
      <c r="A386" s="18"/>
      <c r="B386" s="21"/>
      <c r="L386" s="11"/>
    </row>
    <row r="387" spans="1:12" ht="15.75" customHeight="1">
      <c r="A387" s="18"/>
      <c r="B387" s="21"/>
      <c r="L387" s="11"/>
    </row>
    <row r="388" spans="1:12" ht="15.75" customHeight="1">
      <c r="A388" s="18"/>
      <c r="B388" s="21"/>
      <c r="L388" s="11"/>
    </row>
    <row r="389" spans="1:12" ht="15.75" customHeight="1">
      <c r="A389" s="18"/>
      <c r="B389" s="21"/>
      <c r="L389" s="11"/>
    </row>
    <row r="390" spans="1:12" ht="15.75" customHeight="1">
      <c r="A390" s="18"/>
      <c r="B390" s="21"/>
      <c r="L390" s="11"/>
    </row>
    <row r="391" spans="1:12" ht="15.75" customHeight="1">
      <c r="A391" s="18"/>
      <c r="B391" s="21"/>
      <c r="L391" s="11"/>
    </row>
    <row r="392" spans="1:12" ht="15.75" customHeight="1">
      <c r="A392" s="18"/>
      <c r="B392" s="21"/>
      <c r="L392" s="11"/>
    </row>
    <row r="393" spans="1:12" ht="15.75" customHeight="1">
      <c r="A393" s="18"/>
      <c r="B393" s="21"/>
      <c r="L393" s="11"/>
    </row>
    <row r="394" spans="1:12" ht="15.75" customHeight="1">
      <c r="A394" s="18"/>
      <c r="B394" s="21"/>
      <c r="L394" s="11"/>
    </row>
    <row r="395" spans="1:12" ht="15.75" customHeight="1">
      <c r="A395" s="18"/>
      <c r="B395" s="21"/>
      <c r="L395" s="11"/>
    </row>
    <row r="396" spans="1:12" ht="15.75" customHeight="1">
      <c r="A396" s="18"/>
      <c r="B396" s="21"/>
      <c r="L396" s="11"/>
    </row>
    <row r="397" spans="1:12" ht="15.75" customHeight="1">
      <c r="A397" s="18"/>
      <c r="B397" s="21"/>
      <c r="L397" s="11"/>
    </row>
    <row r="398" spans="1:12" ht="15.75" customHeight="1">
      <c r="A398" s="18"/>
      <c r="B398" s="21"/>
      <c r="L398" s="11"/>
    </row>
    <row r="399" spans="1:12" ht="15.75" customHeight="1">
      <c r="A399" s="18"/>
      <c r="B399" s="21"/>
      <c r="L399" s="11"/>
    </row>
    <row r="400" spans="1:12" ht="15.75" customHeight="1">
      <c r="A400" s="18"/>
      <c r="B400" s="21"/>
      <c r="L400" s="11"/>
    </row>
    <row r="401" spans="1:12" ht="15.75" customHeight="1">
      <c r="A401" s="18"/>
      <c r="B401" s="21"/>
      <c r="L401" s="11"/>
    </row>
    <row r="402" spans="1:12" ht="15.75" customHeight="1">
      <c r="A402" s="18"/>
      <c r="B402" s="21"/>
      <c r="L402" s="11"/>
    </row>
    <row r="403" spans="1:12" ht="15.75" customHeight="1">
      <c r="A403" s="18"/>
      <c r="B403" s="21"/>
      <c r="L403" s="11"/>
    </row>
    <row r="404" spans="1:12" ht="15.75" customHeight="1">
      <c r="A404" s="18"/>
      <c r="B404" s="21"/>
      <c r="L404" s="11"/>
    </row>
    <row r="405" spans="1:12" ht="15.75" customHeight="1">
      <c r="A405" s="18"/>
      <c r="B405" s="21"/>
      <c r="L405" s="11"/>
    </row>
    <row r="406" spans="1:12" ht="15.75" customHeight="1">
      <c r="A406" s="18"/>
      <c r="B406" s="21"/>
      <c r="L406" s="11"/>
    </row>
    <row r="407" spans="1:12" ht="15.75" customHeight="1">
      <c r="A407" s="18"/>
      <c r="B407" s="21"/>
      <c r="L407" s="11"/>
    </row>
    <row r="408" spans="1:12" ht="15.75" customHeight="1">
      <c r="A408" s="18"/>
      <c r="B408" s="21"/>
      <c r="L408" s="11"/>
    </row>
    <row r="409" spans="1:12" ht="15.75" customHeight="1">
      <c r="A409" s="18"/>
      <c r="B409" s="21"/>
      <c r="L409" s="11"/>
    </row>
    <row r="410" spans="1:12" ht="15.75" customHeight="1">
      <c r="A410" s="18"/>
      <c r="B410" s="21"/>
      <c r="L410" s="11"/>
    </row>
    <row r="411" spans="1:12" ht="15.75" customHeight="1">
      <c r="A411" s="18"/>
      <c r="B411" s="21"/>
      <c r="L411" s="11"/>
    </row>
    <row r="412" spans="1:12" ht="15.75" customHeight="1">
      <c r="A412" s="18"/>
      <c r="B412" s="21"/>
      <c r="L412" s="11"/>
    </row>
    <row r="413" spans="1:12" ht="15.75" customHeight="1">
      <c r="A413" s="18"/>
      <c r="B413" s="21"/>
      <c r="L413" s="11"/>
    </row>
    <row r="414" spans="1:12" ht="15.75" customHeight="1">
      <c r="A414" s="18"/>
      <c r="B414" s="21"/>
      <c r="L414" s="11"/>
    </row>
    <row r="415" spans="1:12" ht="15.75" customHeight="1">
      <c r="A415" s="18"/>
      <c r="B415" s="21"/>
      <c r="L415" s="11"/>
    </row>
    <row r="416" spans="1:12" ht="15.75" customHeight="1">
      <c r="A416" s="18"/>
      <c r="B416" s="21"/>
      <c r="L416" s="11"/>
    </row>
    <row r="417" spans="1:12" ht="15.75" customHeight="1">
      <c r="A417" s="18"/>
      <c r="B417" s="21"/>
      <c r="L417" s="11"/>
    </row>
    <row r="418" spans="1:12" ht="15.75" customHeight="1">
      <c r="A418" s="18"/>
      <c r="B418" s="21"/>
      <c r="L418" s="11"/>
    </row>
    <row r="419" spans="1:12" ht="15.75" customHeight="1">
      <c r="A419" s="18"/>
      <c r="B419" s="21"/>
      <c r="L419" s="11"/>
    </row>
    <row r="420" spans="1:12" ht="15.75" customHeight="1">
      <c r="A420" s="18"/>
      <c r="B420" s="21"/>
      <c r="L420" s="11"/>
    </row>
    <row r="421" spans="1:12" ht="15.75" customHeight="1">
      <c r="A421" s="18"/>
      <c r="B421" s="21"/>
      <c r="L421" s="11"/>
    </row>
    <row r="422" spans="1:12" ht="15.75" customHeight="1">
      <c r="A422" s="18"/>
      <c r="B422" s="21"/>
      <c r="L422" s="11"/>
    </row>
    <row r="423" spans="1:12" ht="15.75" customHeight="1">
      <c r="A423" s="18"/>
      <c r="B423" s="21"/>
      <c r="L423" s="11"/>
    </row>
    <row r="424" spans="1:12" ht="15.75" customHeight="1">
      <c r="A424" s="18"/>
      <c r="B424" s="21"/>
      <c r="L424" s="11"/>
    </row>
    <row r="425" spans="1:12" ht="15.75" customHeight="1">
      <c r="A425" s="18"/>
      <c r="B425" s="21"/>
      <c r="L425" s="11"/>
    </row>
    <row r="426" spans="1:12" ht="15.75" customHeight="1">
      <c r="A426" s="18"/>
      <c r="B426" s="21"/>
      <c r="L426" s="11"/>
    </row>
    <row r="427" spans="1:12" ht="15.75" customHeight="1">
      <c r="A427" s="18"/>
      <c r="B427" s="21"/>
      <c r="L427" s="11"/>
    </row>
    <row r="428" spans="1:12" ht="15.75" customHeight="1">
      <c r="A428" s="18"/>
      <c r="B428" s="21"/>
      <c r="L428" s="11"/>
    </row>
    <row r="429" spans="1:12" ht="15.75" customHeight="1">
      <c r="A429" s="18"/>
      <c r="B429" s="21"/>
      <c r="L429" s="11"/>
    </row>
    <row r="430" spans="1:12" ht="15.75" customHeight="1">
      <c r="A430" s="18"/>
      <c r="B430" s="21"/>
      <c r="L430" s="11"/>
    </row>
    <row r="431" spans="1:12" ht="15.75" customHeight="1">
      <c r="A431" s="18"/>
      <c r="B431" s="21"/>
      <c r="L431" s="11"/>
    </row>
    <row r="432" spans="1:12" ht="15.75" customHeight="1">
      <c r="A432" s="18"/>
      <c r="B432" s="21"/>
      <c r="L432" s="11"/>
    </row>
    <row r="433" spans="1:12" ht="15.75" customHeight="1">
      <c r="A433" s="18"/>
      <c r="B433" s="21"/>
      <c r="L433" s="11"/>
    </row>
    <row r="434" spans="1:12" ht="15.75" customHeight="1">
      <c r="A434" s="18"/>
      <c r="B434" s="21"/>
      <c r="L434" s="11"/>
    </row>
    <row r="435" spans="1:12" ht="15.75" customHeight="1">
      <c r="A435" s="18"/>
      <c r="B435" s="21"/>
      <c r="L435" s="11"/>
    </row>
    <row r="436" spans="1:12" ht="15.75" customHeight="1">
      <c r="A436" s="18"/>
      <c r="B436" s="21"/>
      <c r="L436" s="11"/>
    </row>
    <row r="437" spans="1:12" ht="15.75" customHeight="1">
      <c r="A437" s="18"/>
      <c r="B437" s="21"/>
      <c r="L437" s="11"/>
    </row>
    <row r="438" spans="1:12" ht="15.75" customHeight="1">
      <c r="A438" s="18"/>
      <c r="B438" s="21"/>
      <c r="L438" s="11"/>
    </row>
    <row r="439" spans="1:12" ht="15.75" customHeight="1">
      <c r="A439" s="18"/>
      <c r="B439" s="21"/>
      <c r="L439" s="11"/>
    </row>
    <row r="440" spans="1:12" ht="15.75" customHeight="1">
      <c r="A440" s="18"/>
      <c r="B440" s="21"/>
      <c r="L440" s="11"/>
    </row>
    <row r="441" spans="1:12" ht="15.75" customHeight="1">
      <c r="A441" s="18"/>
      <c r="B441" s="21"/>
      <c r="L441" s="11"/>
    </row>
    <row r="442" spans="1:12" ht="15.75" customHeight="1">
      <c r="A442" s="18"/>
      <c r="B442" s="21"/>
      <c r="L442" s="11"/>
    </row>
    <row r="443" spans="1:12" ht="15.75" customHeight="1">
      <c r="A443" s="18"/>
      <c r="B443" s="21"/>
      <c r="L443" s="11"/>
    </row>
    <row r="444" spans="1:12" ht="15.75" customHeight="1">
      <c r="A444" s="18"/>
      <c r="B444" s="21"/>
      <c r="L444" s="11"/>
    </row>
    <row r="445" spans="1:12" ht="15.75" customHeight="1">
      <c r="A445" s="18"/>
      <c r="B445" s="21"/>
      <c r="L445" s="11"/>
    </row>
    <row r="446" spans="1:12" ht="15.75" customHeight="1">
      <c r="A446" s="18"/>
      <c r="B446" s="21"/>
      <c r="L446" s="11"/>
    </row>
    <row r="447" spans="1:12" ht="15.75" customHeight="1">
      <c r="A447" s="18"/>
      <c r="B447" s="21"/>
      <c r="L447" s="11"/>
    </row>
    <row r="448" spans="1:12" ht="15.75" customHeight="1">
      <c r="A448" s="18"/>
      <c r="B448" s="21"/>
      <c r="L448" s="11"/>
    </row>
    <row r="449" spans="1:12" ht="15.75" customHeight="1">
      <c r="A449" s="18"/>
      <c r="B449" s="21"/>
      <c r="L449" s="11"/>
    </row>
    <row r="450" spans="1:12" ht="15.75" customHeight="1">
      <c r="A450" s="18"/>
      <c r="B450" s="21"/>
      <c r="L450" s="11"/>
    </row>
    <row r="451" spans="1:12" ht="15.75" customHeight="1">
      <c r="A451" s="18"/>
      <c r="B451" s="21"/>
      <c r="L451" s="11"/>
    </row>
    <row r="452" spans="1:12" ht="15.75" customHeight="1">
      <c r="A452" s="18"/>
      <c r="B452" s="21"/>
      <c r="L452" s="11"/>
    </row>
    <row r="453" spans="1:12" ht="15.75" customHeight="1">
      <c r="A453" s="18"/>
      <c r="B453" s="21"/>
      <c r="L453" s="11"/>
    </row>
    <row r="454" spans="1:12" ht="15.75" customHeight="1">
      <c r="A454" s="18"/>
      <c r="B454" s="21"/>
      <c r="L454" s="11"/>
    </row>
    <row r="455" spans="1:12" ht="15.75" customHeight="1">
      <c r="A455" s="18"/>
      <c r="B455" s="21"/>
      <c r="L455" s="11"/>
    </row>
    <row r="456" spans="1:12" ht="15.75" customHeight="1">
      <c r="A456" s="18"/>
      <c r="B456" s="21"/>
      <c r="L456" s="11"/>
    </row>
    <row r="457" spans="1:12" ht="15.75" customHeight="1">
      <c r="A457" s="18"/>
      <c r="B457" s="21"/>
      <c r="L457" s="11"/>
    </row>
    <row r="458" spans="1:12" ht="15.75" customHeight="1">
      <c r="A458" s="18"/>
      <c r="B458" s="21"/>
      <c r="L458" s="11"/>
    </row>
    <row r="459" spans="1:12" ht="15.75" customHeight="1">
      <c r="A459" s="18"/>
      <c r="B459" s="21"/>
      <c r="L459" s="11"/>
    </row>
    <row r="460" spans="1:12" ht="15.75" customHeight="1">
      <c r="A460" s="18"/>
      <c r="B460" s="21"/>
      <c r="L460" s="11"/>
    </row>
    <row r="461" spans="1:12" ht="15.75" customHeight="1">
      <c r="A461" s="18"/>
      <c r="B461" s="21"/>
      <c r="L461" s="11"/>
    </row>
    <row r="462" spans="1:12" ht="15.75" customHeight="1">
      <c r="A462" s="18"/>
      <c r="B462" s="21"/>
      <c r="L462" s="11"/>
    </row>
    <row r="463" spans="1:12" ht="15.75" customHeight="1">
      <c r="A463" s="18"/>
      <c r="B463" s="21"/>
      <c r="L463" s="11"/>
    </row>
    <row r="464" spans="1:12" ht="15.75" customHeight="1">
      <c r="A464" s="18"/>
      <c r="B464" s="21"/>
      <c r="L464" s="11"/>
    </row>
    <row r="465" spans="1:12" ht="15.75" customHeight="1">
      <c r="A465" s="18"/>
      <c r="B465" s="21"/>
      <c r="L465" s="11"/>
    </row>
    <row r="466" spans="1:12" ht="15.75" customHeight="1">
      <c r="A466" s="18"/>
      <c r="B466" s="21"/>
      <c r="L466" s="11"/>
    </row>
    <row r="467" spans="1:12" ht="15.75" customHeight="1">
      <c r="A467" s="18"/>
      <c r="B467" s="21"/>
      <c r="L467" s="11"/>
    </row>
    <row r="468" spans="1:12" ht="15.75" customHeight="1">
      <c r="A468" s="18"/>
      <c r="B468" s="21"/>
      <c r="L468" s="11"/>
    </row>
    <row r="469" spans="1:12" ht="15.75" customHeight="1">
      <c r="A469" s="18"/>
      <c r="B469" s="21"/>
      <c r="L469" s="11"/>
    </row>
    <row r="470" spans="1:12" ht="15.75" customHeight="1">
      <c r="A470" s="18"/>
      <c r="B470" s="21"/>
      <c r="L470" s="11"/>
    </row>
    <row r="471" spans="1:12" ht="15.75" customHeight="1">
      <c r="A471" s="18"/>
      <c r="B471" s="21"/>
      <c r="L471" s="11"/>
    </row>
    <row r="472" spans="1:12" ht="15.75" customHeight="1">
      <c r="A472" s="18"/>
      <c r="B472" s="21"/>
      <c r="L472" s="11"/>
    </row>
    <row r="473" spans="1:12" ht="15.75" customHeight="1">
      <c r="A473" s="18"/>
      <c r="B473" s="21"/>
      <c r="L473" s="11"/>
    </row>
    <row r="474" spans="1:12" ht="15.75" customHeight="1">
      <c r="A474" s="18"/>
      <c r="B474" s="21"/>
      <c r="L474" s="11"/>
    </row>
    <row r="475" spans="1:12" ht="15.75" customHeight="1">
      <c r="A475" s="18"/>
      <c r="B475" s="21"/>
      <c r="L475" s="11"/>
    </row>
    <row r="476" spans="1:12" ht="15.75" customHeight="1">
      <c r="A476" s="18"/>
      <c r="B476" s="21"/>
      <c r="L476" s="11"/>
    </row>
    <row r="477" spans="1:12" ht="15.75" customHeight="1">
      <c r="A477" s="18"/>
      <c r="B477" s="21"/>
      <c r="L477" s="11"/>
    </row>
    <row r="478" spans="1:12" ht="15.75" customHeight="1">
      <c r="A478" s="18"/>
      <c r="B478" s="21"/>
      <c r="L478" s="11"/>
    </row>
    <row r="479" spans="1:12" ht="15.75" customHeight="1">
      <c r="A479" s="18"/>
      <c r="B479" s="21"/>
      <c r="L479" s="11"/>
    </row>
    <row r="480" spans="1:12" ht="15.75" customHeight="1">
      <c r="A480" s="18"/>
      <c r="B480" s="21"/>
      <c r="L480" s="11"/>
    </row>
    <row r="481" spans="1:12" ht="15.75" customHeight="1">
      <c r="A481" s="18"/>
      <c r="B481" s="21"/>
      <c r="L481" s="11"/>
    </row>
    <row r="482" spans="1:12" ht="15.75" customHeight="1">
      <c r="A482" s="18"/>
      <c r="B482" s="21"/>
      <c r="L482" s="11"/>
    </row>
    <row r="483" spans="1:12" ht="15.75" customHeight="1">
      <c r="A483" s="18"/>
      <c r="B483" s="21"/>
      <c r="L483" s="11"/>
    </row>
    <row r="484" spans="1:12" ht="15.75" customHeight="1">
      <c r="A484" s="18"/>
      <c r="B484" s="21"/>
      <c r="L484" s="11"/>
    </row>
    <row r="485" spans="1:12" ht="15.75" customHeight="1">
      <c r="A485" s="18"/>
      <c r="B485" s="21"/>
      <c r="L485" s="11"/>
    </row>
    <row r="486" spans="1:12" ht="15.75" customHeight="1">
      <c r="A486" s="18"/>
      <c r="B486" s="21"/>
      <c r="L486" s="11"/>
    </row>
    <row r="487" spans="1:12" ht="15.75" customHeight="1">
      <c r="A487" s="18"/>
      <c r="B487" s="21"/>
      <c r="L487" s="11"/>
    </row>
    <row r="488" spans="1:12" ht="15.75" customHeight="1">
      <c r="A488" s="18"/>
      <c r="B488" s="21"/>
      <c r="L488" s="11"/>
    </row>
    <row r="489" spans="1:12" ht="15.75" customHeight="1">
      <c r="A489" s="18"/>
      <c r="B489" s="21"/>
      <c r="L489" s="11"/>
    </row>
    <row r="490" spans="1:12" ht="15.75" customHeight="1">
      <c r="A490" s="18"/>
      <c r="B490" s="21"/>
      <c r="L490" s="11"/>
    </row>
    <row r="491" spans="1:12" ht="15.75" customHeight="1">
      <c r="A491" s="18"/>
      <c r="B491" s="21"/>
      <c r="L491" s="11"/>
    </row>
    <row r="492" spans="1:12" ht="15.75" customHeight="1">
      <c r="A492" s="18"/>
      <c r="B492" s="21"/>
      <c r="L492" s="11"/>
    </row>
    <row r="493" spans="1:12" ht="15.75" customHeight="1">
      <c r="A493" s="18"/>
      <c r="B493" s="21"/>
      <c r="L493" s="11"/>
    </row>
    <row r="494" spans="1:12" ht="15.75" customHeight="1">
      <c r="A494" s="18"/>
      <c r="B494" s="21"/>
      <c r="L494" s="11"/>
    </row>
    <row r="495" spans="1:12" ht="15.75" customHeight="1">
      <c r="A495" s="18"/>
      <c r="B495" s="21"/>
      <c r="L495" s="11"/>
    </row>
    <row r="496" spans="1:12" ht="15.75" customHeight="1">
      <c r="A496" s="18"/>
      <c r="B496" s="21"/>
      <c r="L496" s="11"/>
    </row>
    <row r="497" spans="1:12" ht="15.75" customHeight="1">
      <c r="A497" s="18"/>
      <c r="B497" s="21"/>
      <c r="L497" s="11"/>
    </row>
    <row r="498" spans="1:12" ht="15.75" customHeight="1">
      <c r="A498" s="18"/>
      <c r="B498" s="21"/>
      <c r="L498" s="11"/>
    </row>
    <row r="499" spans="1:12" ht="15.75" customHeight="1">
      <c r="A499" s="18"/>
      <c r="B499" s="21"/>
      <c r="L499" s="11"/>
    </row>
    <row r="500" spans="1:12" ht="15.75" customHeight="1">
      <c r="A500" s="18"/>
      <c r="B500" s="21"/>
      <c r="L500" s="11"/>
    </row>
    <row r="501" spans="1:12" ht="15.75" customHeight="1">
      <c r="A501" s="18"/>
      <c r="B501" s="21"/>
      <c r="L501" s="11"/>
    </row>
    <row r="502" spans="1:12" ht="15.75" customHeight="1">
      <c r="A502" s="18"/>
      <c r="B502" s="21"/>
      <c r="L502" s="11"/>
    </row>
    <row r="503" spans="1:12" ht="15.75" customHeight="1">
      <c r="A503" s="18"/>
      <c r="B503" s="21"/>
      <c r="L503" s="11"/>
    </row>
    <row r="504" spans="1:12" ht="15.75" customHeight="1">
      <c r="A504" s="18"/>
      <c r="B504" s="21"/>
      <c r="L504" s="11"/>
    </row>
    <row r="505" spans="1:12" ht="15.75" customHeight="1">
      <c r="A505" s="18"/>
      <c r="B505" s="21"/>
      <c r="L505" s="11"/>
    </row>
    <row r="506" spans="1:12" ht="15.75" customHeight="1">
      <c r="A506" s="18"/>
      <c r="B506" s="21"/>
      <c r="L506" s="11"/>
    </row>
    <row r="507" spans="1:12" ht="15.75" customHeight="1">
      <c r="A507" s="18"/>
      <c r="B507" s="21"/>
      <c r="L507" s="11"/>
    </row>
    <row r="508" spans="1:12" ht="15.75" customHeight="1">
      <c r="A508" s="18"/>
      <c r="B508" s="21"/>
      <c r="L508" s="11"/>
    </row>
    <row r="509" spans="1:12" ht="15.75" customHeight="1">
      <c r="A509" s="18"/>
      <c r="B509" s="21"/>
      <c r="L509" s="11"/>
    </row>
    <row r="510" spans="1:12" ht="15.75" customHeight="1">
      <c r="A510" s="18"/>
      <c r="B510" s="21"/>
      <c r="L510" s="11"/>
    </row>
    <row r="511" spans="1:12" ht="15.75" customHeight="1">
      <c r="A511" s="18"/>
      <c r="B511" s="21"/>
      <c r="L511" s="11"/>
    </row>
    <row r="512" spans="1:12" ht="15.75" customHeight="1">
      <c r="A512" s="18"/>
      <c r="B512" s="21"/>
      <c r="L512" s="11"/>
    </row>
    <row r="513" spans="1:12" ht="15.75" customHeight="1">
      <c r="A513" s="18"/>
      <c r="B513" s="21"/>
      <c r="L513" s="11"/>
    </row>
    <row r="514" spans="1:12" ht="15.75" customHeight="1">
      <c r="A514" s="18"/>
      <c r="B514" s="21"/>
      <c r="L514" s="11"/>
    </row>
    <row r="515" spans="1:12" ht="15.75" customHeight="1">
      <c r="A515" s="18"/>
      <c r="B515" s="21"/>
      <c r="L515" s="11"/>
    </row>
    <row r="516" spans="1:12" ht="15.75" customHeight="1">
      <c r="A516" s="18"/>
      <c r="B516" s="21"/>
      <c r="L516" s="11"/>
    </row>
    <row r="517" spans="1:12" ht="15.75" customHeight="1">
      <c r="A517" s="18"/>
      <c r="B517" s="21"/>
      <c r="L517" s="11"/>
    </row>
    <row r="518" spans="1:12" ht="15.75" customHeight="1">
      <c r="A518" s="18"/>
      <c r="B518" s="21"/>
      <c r="L518" s="11"/>
    </row>
    <row r="519" spans="1:12" ht="15.75" customHeight="1">
      <c r="A519" s="18"/>
      <c r="B519" s="21"/>
      <c r="L519" s="11"/>
    </row>
    <row r="520" spans="1:12" ht="15.75" customHeight="1">
      <c r="A520" s="18"/>
      <c r="B520" s="21"/>
      <c r="L520" s="11"/>
    </row>
    <row r="521" spans="1:12" ht="15.75" customHeight="1">
      <c r="A521" s="18"/>
      <c r="B521" s="21"/>
      <c r="L521" s="11"/>
    </row>
    <row r="522" spans="1:12" ht="15.75" customHeight="1">
      <c r="A522" s="18"/>
      <c r="B522" s="21"/>
      <c r="L522" s="11"/>
    </row>
    <row r="523" spans="1:12" ht="15.75" customHeight="1">
      <c r="A523" s="18"/>
      <c r="B523" s="21"/>
      <c r="L523" s="11"/>
    </row>
    <row r="524" spans="1:12" ht="15.75" customHeight="1">
      <c r="A524" s="18"/>
      <c r="B524" s="21"/>
      <c r="L524" s="11"/>
    </row>
    <row r="525" spans="1:12" ht="15.75" customHeight="1">
      <c r="A525" s="18"/>
      <c r="B525" s="21"/>
      <c r="L525" s="11"/>
    </row>
    <row r="526" spans="1:12" ht="15.75" customHeight="1">
      <c r="A526" s="18"/>
      <c r="B526" s="21"/>
      <c r="L526" s="11"/>
    </row>
    <row r="527" spans="1:12" ht="15.75" customHeight="1">
      <c r="A527" s="18"/>
      <c r="B527" s="21"/>
      <c r="L527" s="11"/>
    </row>
    <row r="528" spans="1:12" ht="15.75" customHeight="1">
      <c r="A528" s="18"/>
      <c r="B528" s="21"/>
      <c r="L528" s="11"/>
    </row>
    <row r="529" spans="1:12" ht="15.75" customHeight="1">
      <c r="A529" s="18"/>
      <c r="B529" s="21"/>
      <c r="L529" s="11"/>
    </row>
    <row r="530" spans="1:12" ht="15.75" customHeight="1">
      <c r="A530" s="18"/>
      <c r="B530" s="21"/>
      <c r="L530" s="11"/>
    </row>
    <row r="531" spans="1:12" ht="15.75" customHeight="1">
      <c r="A531" s="18"/>
      <c r="B531" s="21"/>
      <c r="L531" s="11"/>
    </row>
    <row r="532" spans="1:12" ht="15.75" customHeight="1">
      <c r="A532" s="18"/>
      <c r="B532" s="21"/>
      <c r="L532" s="11"/>
    </row>
    <row r="533" spans="1:12" ht="15.75" customHeight="1">
      <c r="A533" s="18"/>
      <c r="B533" s="21"/>
      <c r="L533" s="11"/>
    </row>
    <row r="534" spans="1:12" ht="15.75" customHeight="1">
      <c r="A534" s="18"/>
      <c r="B534" s="21"/>
      <c r="L534" s="11"/>
    </row>
    <row r="535" spans="1:12" ht="15.75" customHeight="1">
      <c r="A535" s="18"/>
      <c r="B535" s="21"/>
      <c r="L535" s="11"/>
    </row>
    <row r="536" spans="1:12" ht="15.75" customHeight="1">
      <c r="A536" s="18"/>
      <c r="B536" s="21"/>
      <c r="L536" s="11"/>
    </row>
    <row r="537" spans="1:12" ht="15.75" customHeight="1">
      <c r="A537" s="18"/>
      <c r="B537" s="21"/>
      <c r="L537" s="11"/>
    </row>
    <row r="538" spans="1:12" ht="15.75" customHeight="1">
      <c r="A538" s="18"/>
      <c r="B538" s="21"/>
      <c r="L538" s="11"/>
    </row>
    <row r="539" spans="1:12" ht="15.75" customHeight="1">
      <c r="A539" s="18"/>
      <c r="B539" s="21"/>
      <c r="L539" s="11"/>
    </row>
    <row r="540" spans="1:12" ht="15.75" customHeight="1">
      <c r="A540" s="18"/>
      <c r="B540" s="21"/>
      <c r="L540" s="11"/>
    </row>
    <row r="541" spans="1:12" ht="15.75" customHeight="1">
      <c r="A541" s="18"/>
      <c r="B541" s="21"/>
      <c r="L541" s="11"/>
    </row>
    <row r="542" spans="1:12" ht="15.75" customHeight="1">
      <c r="A542" s="18"/>
      <c r="B542" s="21"/>
      <c r="L542" s="11"/>
    </row>
    <row r="543" spans="1:12" ht="15.75" customHeight="1">
      <c r="A543" s="18"/>
      <c r="B543" s="21"/>
      <c r="L543" s="11"/>
    </row>
    <row r="544" spans="1:12" ht="15.75" customHeight="1">
      <c r="A544" s="18"/>
      <c r="B544" s="21"/>
      <c r="L544" s="11"/>
    </row>
    <row r="545" spans="1:12" ht="15.75" customHeight="1">
      <c r="A545" s="18"/>
      <c r="B545" s="21"/>
      <c r="L545" s="11"/>
    </row>
    <row r="546" spans="1:12" ht="15.75" customHeight="1">
      <c r="A546" s="18"/>
      <c r="B546" s="21"/>
      <c r="L546" s="11"/>
    </row>
    <row r="547" spans="1:12" ht="15.75" customHeight="1">
      <c r="A547" s="18"/>
      <c r="B547" s="21"/>
      <c r="L547" s="11"/>
    </row>
    <row r="548" spans="1:12" ht="15.75" customHeight="1">
      <c r="A548" s="18"/>
      <c r="B548" s="21"/>
      <c r="L548" s="11"/>
    </row>
    <row r="549" spans="1:12" ht="15.75" customHeight="1">
      <c r="A549" s="18"/>
      <c r="B549" s="21"/>
      <c r="L549" s="11"/>
    </row>
    <row r="550" spans="1:12" ht="15.75" customHeight="1">
      <c r="A550" s="18"/>
      <c r="B550" s="21"/>
      <c r="L550" s="11"/>
    </row>
    <row r="551" spans="1:12" ht="15.75" customHeight="1">
      <c r="A551" s="18"/>
      <c r="B551" s="21"/>
      <c r="L551" s="11"/>
    </row>
    <row r="552" spans="1:12" ht="15.75" customHeight="1">
      <c r="A552" s="18"/>
      <c r="B552" s="21"/>
      <c r="L552" s="11"/>
    </row>
    <row r="553" spans="1:12" ht="15.75" customHeight="1">
      <c r="A553" s="18"/>
      <c r="B553" s="21"/>
      <c r="L553" s="11"/>
    </row>
    <row r="554" spans="1:12" ht="15.75" customHeight="1">
      <c r="A554" s="18"/>
      <c r="B554" s="21"/>
      <c r="L554" s="11"/>
    </row>
    <row r="555" spans="1:12" ht="15.75" customHeight="1">
      <c r="A555" s="18"/>
      <c r="B555" s="21"/>
      <c r="L555" s="11"/>
    </row>
    <row r="556" spans="1:12" ht="15.75" customHeight="1">
      <c r="A556" s="18"/>
      <c r="B556" s="21"/>
      <c r="L556" s="11"/>
    </row>
    <row r="557" spans="1:12" ht="15.75" customHeight="1">
      <c r="A557" s="18"/>
      <c r="B557" s="21"/>
      <c r="L557" s="11"/>
    </row>
    <row r="558" spans="1:12" ht="15.75" customHeight="1">
      <c r="A558" s="18"/>
      <c r="B558" s="21"/>
      <c r="L558" s="11"/>
    </row>
    <row r="559" spans="1:12" ht="15.75" customHeight="1">
      <c r="A559" s="18"/>
      <c r="B559" s="21"/>
      <c r="L559" s="11"/>
    </row>
    <row r="560" spans="1:12" ht="15.75" customHeight="1">
      <c r="A560" s="18"/>
      <c r="B560" s="21"/>
      <c r="L560" s="11"/>
    </row>
    <row r="561" spans="1:12" ht="15.75" customHeight="1">
      <c r="A561" s="18"/>
      <c r="B561" s="21"/>
      <c r="L561" s="11"/>
    </row>
    <row r="562" spans="1:12" ht="15.75" customHeight="1">
      <c r="A562" s="18"/>
      <c r="B562" s="21"/>
      <c r="L562" s="11"/>
    </row>
    <row r="563" spans="1:12" ht="15.75" customHeight="1">
      <c r="A563" s="18"/>
      <c r="B563" s="21"/>
      <c r="L563" s="11"/>
    </row>
    <row r="564" spans="1:12" ht="15.75" customHeight="1">
      <c r="A564" s="18"/>
      <c r="B564" s="21"/>
      <c r="L564" s="11"/>
    </row>
    <row r="565" spans="1:12" ht="15.75" customHeight="1">
      <c r="A565" s="18"/>
      <c r="B565" s="21"/>
      <c r="L565" s="11"/>
    </row>
    <row r="566" spans="1:12" ht="15.75" customHeight="1">
      <c r="A566" s="18"/>
      <c r="B566" s="21"/>
      <c r="L566" s="11"/>
    </row>
    <row r="567" spans="1:12" ht="15.75" customHeight="1">
      <c r="A567" s="18"/>
      <c r="B567" s="21"/>
      <c r="L567" s="11"/>
    </row>
    <row r="568" spans="1:12" ht="15.75" customHeight="1">
      <c r="A568" s="18"/>
      <c r="B568" s="21"/>
      <c r="L568" s="11"/>
    </row>
    <row r="569" spans="1:12" ht="15.75" customHeight="1">
      <c r="A569" s="18"/>
      <c r="B569" s="21"/>
      <c r="L569" s="11"/>
    </row>
    <row r="570" spans="1:12" ht="15.75" customHeight="1">
      <c r="A570" s="18"/>
      <c r="B570" s="21"/>
      <c r="L570" s="11"/>
    </row>
    <row r="571" spans="1:12" ht="15.75" customHeight="1">
      <c r="A571" s="18"/>
      <c r="B571" s="21"/>
      <c r="L571" s="11"/>
    </row>
    <row r="572" spans="1:12" ht="15.75" customHeight="1">
      <c r="A572" s="18"/>
      <c r="B572" s="21"/>
      <c r="L572" s="11"/>
    </row>
    <row r="573" spans="1:12" ht="15.75" customHeight="1">
      <c r="A573" s="18"/>
      <c r="B573" s="21"/>
      <c r="L573" s="11"/>
    </row>
    <row r="574" spans="1:12" ht="15.75" customHeight="1">
      <c r="A574" s="18"/>
      <c r="B574" s="21"/>
      <c r="L574" s="11"/>
    </row>
    <row r="575" spans="1:12" ht="15.75" customHeight="1">
      <c r="A575" s="18"/>
      <c r="B575" s="21"/>
      <c r="L575" s="11"/>
    </row>
    <row r="576" spans="1:12" ht="15.75" customHeight="1">
      <c r="A576" s="18"/>
      <c r="B576" s="21"/>
      <c r="L576" s="11"/>
    </row>
    <row r="577" spans="1:12" ht="15.75" customHeight="1">
      <c r="A577" s="18"/>
      <c r="B577" s="21"/>
      <c r="L577" s="11"/>
    </row>
    <row r="578" spans="1:12" ht="15.75" customHeight="1">
      <c r="A578" s="18"/>
      <c r="B578" s="21"/>
      <c r="L578" s="11"/>
    </row>
    <row r="579" spans="1:12" ht="15.75" customHeight="1">
      <c r="A579" s="18"/>
      <c r="B579" s="21"/>
      <c r="L579" s="11"/>
    </row>
    <row r="580" spans="1:12" ht="15.75" customHeight="1">
      <c r="A580" s="18"/>
      <c r="B580" s="21"/>
      <c r="L580" s="11"/>
    </row>
    <row r="581" spans="1:12" ht="15.75" customHeight="1">
      <c r="A581" s="18"/>
      <c r="B581" s="21"/>
      <c r="L581" s="11"/>
    </row>
    <row r="582" spans="1:12" ht="15.75" customHeight="1">
      <c r="A582" s="18"/>
      <c r="B582" s="21"/>
      <c r="L582" s="11"/>
    </row>
    <row r="583" spans="1:12" ht="15.75" customHeight="1">
      <c r="A583" s="18"/>
      <c r="B583" s="21"/>
      <c r="L583" s="11"/>
    </row>
    <row r="584" spans="1:12" ht="15.75" customHeight="1">
      <c r="A584" s="18"/>
      <c r="B584" s="21"/>
      <c r="L584" s="11"/>
    </row>
    <row r="585" spans="1:12" ht="15.75" customHeight="1">
      <c r="A585" s="18"/>
      <c r="B585" s="21"/>
      <c r="L585" s="11"/>
    </row>
    <row r="586" spans="1:12" ht="15.75" customHeight="1">
      <c r="A586" s="18"/>
      <c r="B586" s="21"/>
      <c r="L586" s="11"/>
    </row>
    <row r="587" spans="1:12" ht="15.75" customHeight="1">
      <c r="A587" s="18"/>
      <c r="B587" s="21"/>
      <c r="L587" s="11"/>
    </row>
    <row r="588" spans="1:12" ht="15.75" customHeight="1">
      <c r="A588" s="18"/>
      <c r="B588" s="21"/>
      <c r="L588" s="11"/>
    </row>
    <row r="589" spans="1:12" ht="15.75" customHeight="1">
      <c r="A589" s="18"/>
      <c r="B589" s="21"/>
      <c r="L589" s="11"/>
    </row>
    <row r="590" spans="1:12" ht="15.75" customHeight="1">
      <c r="A590" s="18"/>
      <c r="B590" s="21"/>
      <c r="L590" s="11"/>
    </row>
    <row r="591" spans="1:12" ht="15.75" customHeight="1">
      <c r="A591" s="18"/>
      <c r="B591" s="21"/>
      <c r="L591" s="11"/>
    </row>
    <row r="592" spans="1:12" ht="15.75" customHeight="1">
      <c r="A592" s="18"/>
      <c r="B592" s="21"/>
      <c r="L592" s="11"/>
    </row>
    <row r="593" spans="1:12" ht="15.75" customHeight="1">
      <c r="A593" s="18"/>
      <c r="B593" s="21"/>
      <c r="L593" s="11"/>
    </row>
    <row r="594" spans="1:12" ht="15.75" customHeight="1">
      <c r="A594" s="18"/>
      <c r="B594" s="21"/>
      <c r="L594" s="11"/>
    </row>
    <row r="595" spans="1:12" ht="15.75" customHeight="1">
      <c r="A595" s="18"/>
      <c r="B595" s="21"/>
      <c r="L595" s="11"/>
    </row>
    <row r="596" spans="1:12" ht="15.75" customHeight="1">
      <c r="A596" s="18"/>
      <c r="B596" s="21"/>
      <c r="L596" s="11"/>
    </row>
    <row r="597" spans="1:12" ht="15.75" customHeight="1">
      <c r="A597" s="18"/>
      <c r="B597" s="21"/>
      <c r="L597" s="11"/>
    </row>
    <row r="598" spans="1:12" ht="15.75" customHeight="1">
      <c r="A598" s="18"/>
      <c r="B598" s="21"/>
      <c r="L598" s="11"/>
    </row>
    <row r="599" spans="1:12" ht="15.75" customHeight="1">
      <c r="A599" s="18"/>
      <c r="B599" s="21"/>
      <c r="L599" s="11"/>
    </row>
    <row r="600" spans="1:12" ht="15.75" customHeight="1">
      <c r="A600" s="18"/>
      <c r="B600" s="21"/>
      <c r="L600" s="11"/>
    </row>
    <row r="601" spans="1:12" ht="15.75" customHeight="1">
      <c r="A601" s="18"/>
      <c r="B601" s="21"/>
      <c r="L601" s="11"/>
    </row>
    <row r="602" spans="1:12" ht="15.75" customHeight="1">
      <c r="A602" s="18"/>
      <c r="B602" s="21"/>
      <c r="L602" s="11"/>
    </row>
    <row r="603" spans="1:12" ht="15.75" customHeight="1">
      <c r="A603" s="18"/>
      <c r="B603" s="21"/>
      <c r="L603" s="11"/>
    </row>
    <row r="604" spans="1:12" ht="15.75" customHeight="1">
      <c r="A604" s="18"/>
      <c r="B604" s="21"/>
      <c r="L604" s="11"/>
    </row>
    <row r="605" spans="1:12" ht="15.75" customHeight="1">
      <c r="A605" s="18"/>
      <c r="B605" s="21"/>
      <c r="L605" s="11"/>
    </row>
    <row r="606" spans="1:12" ht="15.75" customHeight="1">
      <c r="A606" s="18"/>
      <c r="B606" s="21"/>
      <c r="L606" s="11"/>
    </row>
    <row r="607" spans="1:12" ht="15.75" customHeight="1">
      <c r="A607" s="18"/>
      <c r="B607" s="21"/>
      <c r="L607" s="11"/>
    </row>
    <row r="608" spans="1:12" ht="15.75" customHeight="1">
      <c r="A608" s="18"/>
      <c r="B608" s="21"/>
      <c r="L608" s="11"/>
    </row>
    <row r="609" spans="1:12" ht="15.75" customHeight="1">
      <c r="A609" s="18"/>
      <c r="B609" s="21"/>
      <c r="L609" s="11"/>
    </row>
    <row r="610" spans="1:12" ht="15.75" customHeight="1">
      <c r="A610" s="18"/>
      <c r="B610" s="21"/>
      <c r="L610" s="11"/>
    </row>
    <row r="611" spans="1:12" ht="15.75" customHeight="1">
      <c r="A611" s="18"/>
      <c r="B611" s="21"/>
      <c r="L611" s="11"/>
    </row>
    <row r="612" spans="1:12" ht="15.75" customHeight="1">
      <c r="A612" s="18"/>
      <c r="B612" s="21"/>
      <c r="L612" s="11"/>
    </row>
    <row r="613" spans="1:12" ht="15.75" customHeight="1">
      <c r="A613" s="18"/>
      <c r="B613" s="21"/>
      <c r="L613" s="11"/>
    </row>
    <row r="614" spans="1:12" ht="15.75" customHeight="1">
      <c r="A614" s="18"/>
      <c r="B614" s="21"/>
      <c r="L614" s="11"/>
    </row>
    <row r="615" spans="1:12" ht="15.75" customHeight="1">
      <c r="A615" s="18"/>
      <c r="B615" s="21"/>
      <c r="L615" s="11"/>
    </row>
    <row r="616" spans="1:12" ht="15.75" customHeight="1">
      <c r="A616" s="18"/>
      <c r="B616" s="21"/>
      <c r="L616" s="11"/>
    </row>
    <row r="617" spans="1:12" ht="15.75" customHeight="1">
      <c r="A617" s="18"/>
      <c r="B617" s="21"/>
      <c r="L617" s="11"/>
    </row>
    <row r="618" spans="1:12" ht="15.75" customHeight="1">
      <c r="A618" s="18"/>
      <c r="B618" s="21"/>
      <c r="L618" s="11"/>
    </row>
    <row r="619" spans="1:12" ht="15.75" customHeight="1">
      <c r="A619" s="18"/>
      <c r="B619" s="21"/>
      <c r="L619" s="11"/>
    </row>
    <row r="620" spans="1:12" ht="15.75" customHeight="1">
      <c r="A620" s="18"/>
      <c r="B620" s="21"/>
      <c r="L620" s="11"/>
    </row>
    <row r="621" spans="1:12" ht="15.75" customHeight="1">
      <c r="A621" s="18"/>
      <c r="B621" s="21"/>
      <c r="L621" s="11"/>
    </row>
    <row r="622" spans="1:12" ht="15.75" customHeight="1">
      <c r="A622" s="18"/>
      <c r="B622" s="21"/>
      <c r="L622" s="11"/>
    </row>
    <row r="623" spans="1:12" ht="15.75" customHeight="1">
      <c r="A623" s="18"/>
      <c r="B623" s="21"/>
      <c r="L623" s="11"/>
    </row>
    <row r="624" spans="1:12" ht="15.75" customHeight="1">
      <c r="A624" s="18"/>
      <c r="B624" s="21"/>
      <c r="L624" s="11"/>
    </row>
    <row r="625" spans="1:12" ht="15.75" customHeight="1">
      <c r="A625" s="18"/>
      <c r="B625" s="21"/>
      <c r="L625" s="11"/>
    </row>
    <row r="626" spans="1:12" ht="15.75" customHeight="1">
      <c r="A626" s="18"/>
      <c r="B626" s="21"/>
      <c r="L626" s="11"/>
    </row>
    <row r="627" spans="1:12" ht="15.75" customHeight="1">
      <c r="A627" s="18"/>
      <c r="B627" s="21"/>
      <c r="L627" s="11"/>
    </row>
    <row r="628" spans="1:12" ht="15.75" customHeight="1">
      <c r="A628" s="18"/>
      <c r="B628" s="21"/>
      <c r="L628" s="11"/>
    </row>
    <row r="629" spans="1:12" ht="15.75" customHeight="1">
      <c r="A629" s="18"/>
      <c r="B629" s="21"/>
      <c r="L629" s="11"/>
    </row>
    <row r="630" spans="1:12" ht="15.75" customHeight="1">
      <c r="A630" s="18"/>
      <c r="B630" s="21"/>
      <c r="L630" s="11"/>
    </row>
    <row r="631" spans="1:12" ht="15.75" customHeight="1">
      <c r="A631" s="18"/>
      <c r="B631" s="21"/>
      <c r="L631" s="11"/>
    </row>
    <row r="632" spans="1:12" ht="15.75" customHeight="1">
      <c r="A632" s="18"/>
      <c r="B632" s="21"/>
      <c r="L632" s="11"/>
    </row>
    <row r="633" spans="1:12" ht="15.75" customHeight="1">
      <c r="A633" s="18"/>
      <c r="B633" s="21"/>
      <c r="L633" s="11"/>
    </row>
    <row r="634" spans="1:12" ht="15.75" customHeight="1">
      <c r="A634" s="18"/>
      <c r="B634" s="21"/>
      <c r="L634" s="11"/>
    </row>
    <row r="635" spans="1:12" ht="15.75" customHeight="1">
      <c r="A635" s="18"/>
      <c r="B635" s="21"/>
      <c r="L635" s="11"/>
    </row>
    <row r="636" spans="1:12" ht="15.75" customHeight="1">
      <c r="A636" s="18"/>
      <c r="B636" s="21"/>
      <c r="L636" s="11"/>
    </row>
    <row r="637" spans="1:12" ht="15.75" customHeight="1">
      <c r="A637" s="18"/>
      <c r="B637" s="21"/>
      <c r="L637" s="11"/>
    </row>
    <row r="638" spans="1:12" ht="15.75" customHeight="1">
      <c r="A638" s="18"/>
      <c r="B638" s="21"/>
      <c r="L638" s="11"/>
    </row>
    <row r="639" spans="1:12" ht="15.75" customHeight="1">
      <c r="A639" s="18"/>
      <c r="B639" s="21"/>
      <c r="L639" s="11"/>
    </row>
    <row r="640" spans="1:12" ht="15.75" customHeight="1">
      <c r="A640" s="18"/>
      <c r="B640" s="21"/>
      <c r="L640" s="11"/>
    </row>
    <row r="641" spans="1:12" ht="15.75" customHeight="1">
      <c r="A641" s="18"/>
      <c r="B641" s="21"/>
      <c r="L641" s="11"/>
    </row>
    <row r="642" spans="1:12" ht="15.75" customHeight="1">
      <c r="A642" s="18"/>
      <c r="B642" s="21"/>
      <c r="L642" s="11"/>
    </row>
    <row r="643" spans="1:12" ht="15.75" customHeight="1">
      <c r="A643" s="18"/>
      <c r="B643" s="21"/>
      <c r="L643" s="11"/>
    </row>
    <row r="644" spans="1:12" ht="15.75" customHeight="1">
      <c r="A644" s="18"/>
      <c r="B644" s="21"/>
      <c r="L644" s="11"/>
    </row>
    <row r="645" spans="1:12" ht="15.75" customHeight="1">
      <c r="A645" s="18"/>
      <c r="B645" s="21"/>
      <c r="L645" s="11"/>
    </row>
    <row r="646" spans="1:12" ht="15.75" customHeight="1">
      <c r="A646" s="18"/>
      <c r="B646" s="21"/>
      <c r="L646" s="11"/>
    </row>
    <row r="647" spans="1:12" ht="15.75" customHeight="1">
      <c r="A647" s="18"/>
      <c r="B647" s="21"/>
      <c r="L647" s="11"/>
    </row>
    <row r="648" spans="1:12" ht="15.75" customHeight="1">
      <c r="A648" s="18"/>
      <c r="B648" s="21"/>
      <c r="L648" s="11"/>
    </row>
    <row r="649" spans="1:12" ht="15.75" customHeight="1">
      <c r="A649" s="18"/>
      <c r="B649" s="21"/>
      <c r="L649" s="11"/>
    </row>
    <row r="650" spans="1:12" ht="15.75" customHeight="1">
      <c r="A650" s="18"/>
      <c r="B650" s="21"/>
      <c r="L650" s="11"/>
    </row>
    <row r="651" spans="1:12" ht="15.75" customHeight="1">
      <c r="A651" s="18"/>
      <c r="B651" s="21"/>
      <c r="L651" s="11"/>
    </row>
    <row r="652" spans="1:12" ht="15.75" customHeight="1">
      <c r="A652" s="18"/>
      <c r="B652" s="21"/>
      <c r="L652" s="11"/>
    </row>
    <row r="653" spans="1:12" ht="15.75" customHeight="1">
      <c r="A653" s="18"/>
      <c r="B653" s="21"/>
      <c r="L653" s="11"/>
    </row>
    <row r="654" spans="1:12" ht="15.75" customHeight="1">
      <c r="A654" s="18"/>
      <c r="B654" s="21"/>
      <c r="L654" s="11"/>
    </row>
    <row r="655" spans="1:12" ht="15.75" customHeight="1">
      <c r="A655" s="18"/>
      <c r="B655" s="21"/>
      <c r="L655" s="11"/>
    </row>
    <row r="656" spans="1:12" ht="15.75" customHeight="1">
      <c r="A656" s="18"/>
      <c r="B656" s="21"/>
      <c r="L656" s="11"/>
    </row>
    <row r="657" spans="1:12" ht="15.75" customHeight="1">
      <c r="A657" s="18"/>
      <c r="B657" s="21"/>
      <c r="L657" s="11"/>
    </row>
    <row r="658" spans="1:12" ht="15.75" customHeight="1">
      <c r="A658" s="18"/>
      <c r="B658" s="21"/>
      <c r="L658" s="11"/>
    </row>
    <row r="659" spans="1:12" ht="15.75" customHeight="1">
      <c r="A659" s="18"/>
      <c r="B659" s="21"/>
      <c r="L659" s="11"/>
    </row>
    <row r="660" spans="1:12" ht="15.75" customHeight="1">
      <c r="A660" s="18"/>
      <c r="B660" s="21"/>
      <c r="L660" s="11"/>
    </row>
    <row r="661" spans="1:12" ht="15.75" customHeight="1">
      <c r="A661" s="18"/>
      <c r="B661" s="21"/>
      <c r="L661" s="11"/>
    </row>
    <row r="662" spans="1:12" ht="15.75" customHeight="1">
      <c r="A662" s="18"/>
      <c r="B662" s="21"/>
      <c r="L662" s="11"/>
    </row>
    <row r="663" spans="1:12" ht="15.75" customHeight="1">
      <c r="A663" s="18"/>
      <c r="B663" s="21"/>
      <c r="L663" s="11"/>
    </row>
    <row r="664" spans="1:12" ht="15.75" customHeight="1">
      <c r="A664" s="18"/>
      <c r="B664" s="21"/>
      <c r="L664" s="11"/>
    </row>
    <row r="665" spans="1:12" ht="15.75" customHeight="1">
      <c r="A665" s="18"/>
      <c r="B665" s="21"/>
      <c r="L665" s="11"/>
    </row>
    <row r="666" spans="1:12" ht="15.75" customHeight="1">
      <c r="A666" s="18"/>
      <c r="B666" s="21"/>
      <c r="L666" s="11"/>
    </row>
    <row r="667" spans="1:12" ht="15.75" customHeight="1">
      <c r="A667" s="18"/>
      <c r="B667" s="21"/>
      <c r="L667" s="11"/>
    </row>
    <row r="668" spans="1:12" ht="15.75" customHeight="1">
      <c r="A668" s="18"/>
      <c r="B668" s="21"/>
      <c r="L668" s="11"/>
    </row>
    <row r="669" spans="1:12" ht="15.75" customHeight="1">
      <c r="A669" s="18"/>
      <c r="B669" s="21"/>
      <c r="L669" s="11"/>
    </row>
    <row r="670" spans="1:12" ht="15.75" customHeight="1">
      <c r="A670" s="18"/>
      <c r="B670" s="21"/>
      <c r="L670" s="11"/>
    </row>
    <row r="671" spans="1:12" ht="15.75" customHeight="1">
      <c r="A671" s="18"/>
      <c r="B671" s="21"/>
      <c r="L671" s="11"/>
    </row>
    <row r="672" spans="1:12" ht="15.75" customHeight="1">
      <c r="A672" s="18"/>
      <c r="B672" s="21"/>
      <c r="L672" s="11"/>
    </row>
    <row r="673" spans="1:12" ht="15.75" customHeight="1">
      <c r="A673" s="18"/>
      <c r="B673" s="21"/>
      <c r="L673" s="11"/>
    </row>
    <row r="674" spans="1:12" ht="15.75" customHeight="1">
      <c r="A674" s="18"/>
      <c r="B674" s="21"/>
      <c r="L674" s="11"/>
    </row>
    <row r="675" spans="1:12" ht="15.75" customHeight="1">
      <c r="A675" s="18"/>
      <c r="B675" s="21"/>
      <c r="L675" s="11"/>
    </row>
    <row r="676" spans="1:12" ht="15.75" customHeight="1">
      <c r="A676" s="18"/>
      <c r="B676" s="21"/>
      <c r="L676" s="11"/>
    </row>
    <row r="677" spans="1:12" ht="15.75" customHeight="1">
      <c r="A677" s="18"/>
      <c r="B677" s="21"/>
      <c r="L677" s="11"/>
    </row>
    <row r="678" spans="1:12" ht="15.75" customHeight="1">
      <c r="A678" s="18"/>
      <c r="B678" s="21"/>
      <c r="L678" s="11"/>
    </row>
    <row r="679" spans="1:12" ht="15.75" customHeight="1">
      <c r="A679" s="18"/>
      <c r="B679" s="21"/>
      <c r="L679" s="11"/>
    </row>
    <row r="680" spans="1:12" ht="15.75" customHeight="1">
      <c r="A680" s="18"/>
      <c r="B680" s="21"/>
      <c r="L680" s="11"/>
    </row>
    <row r="681" spans="1:12" ht="15.75" customHeight="1">
      <c r="A681" s="18"/>
      <c r="B681" s="21"/>
      <c r="L681" s="11"/>
    </row>
    <row r="682" spans="1:12" ht="15.75" customHeight="1">
      <c r="A682" s="18"/>
      <c r="B682" s="21"/>
      <c r="L682" s="11"/>
    </row>
    <row r="683" spans="1:12" ht="15.75" customHeight="1">
      <c r="A683" s="18"/>
      <c r="B683" s="21"/>
      <c r="L683" s="11"/>
    </row>
    <row r="684" spans="1:12" ht="15.75" customHeight="1">
      <c r="A684" s="18"/>
      <c r="B684" s="21"/>
      <c r="L684" s="11"/>
    </row>
    <row r="685" spans="1:12" ht="15.75" customHeight="1">
      <c r="A685" s="18"/>
      <c r="B685" s="21"/>
      <c r="L685" s="11"/>
    </row>
    <row r="686" spans="1:12" ht="15.75" customHeight="1">
      <c r="A686" s="18"/>
      <c r="B686" s="21"/>
      <c r="L686" s="11"/>
    </row>
    <row r="687" spans="1:12" ht="15.75" customHeight="1">
      <c r="A687" s="18"/>
      <c r="B687" s="21"/>
      <c r="L687" s="11"/>
    </row>
    <row r="688" spans="1:12" ht="15.75" customHeight="1">
      <c r="A688" s="18"/>
      <c r="B688" s="21"/>
      <c r="L688" s="11"/>
    </row>
    <row r="689" spans="1:12" ht="15.75" customHeight="1">
      <c r="A689" s="18"/>
      <c r="B689" s="21"/>
      <c r="L689" s="11"/>
    </row>
    <row r="690" spans="1:12" ht="15.75" customHeight="1">
      <c r="A690" s="18"/>
      <c r="B690" s="21"/>
      <c r="L690" s="11"/>
    </row>
    <row r="691" spans="1:12" ht="15.75" customHeight="1">
      <c r="A691" s="18"/>
      <c r="B691" s="21"/>
      <c r="L691" s="11"/>
    </row>
    <row r="692" spans="1:12" ht="15.75" customHeight="1">
      <c r="A692" s="18"/>
      <c r="B692" s="21"/>
      <c r="L692" s="11"/>
    </row>
    <row r="693" spans="1:12" ht="15.75" customHeight="1">
      <c r="A693" s="18"/>
      <c r="B693" s="21"/>
      <c r="L693" s="11"/>
    </row>
    <row r="694" spans="1:12" ht="15.75" customHeight="1">
      <c r="A694" s="18"/>
      <c r="B694" s="21"/>
      <c r="L694" s="11"/>
    </row>
    <row r="695" spans="1:12" ht="15.75" customHeight="1">
      <c r="A695" s="18"/>
      <c r="B695" s="21"/>
      <c r="L695" s="11"/>
    </row>
    <row r="696" spans="1:12" ht="15.75" customHeight="1">
      <c r="A696" s="18"/>
      <c r="B696" s="21"/>
      <c r="L696" s="11"/>
    </row>
    <row r="697" spans="1:12" ht="15.75" customHeight="1">
      <c r="A697" s="18"/>
      <c r="B697" s="21"/>
      <c r="L697" s="11"/>
    </row>
    <row r="698" spans="1:12" ht="15.75" customHeight="1">
      <c r="A698" s="18"/>
      <c r="B698" s="21"/>
      <c r="L698" s="11"/>
    </row>
    <row r="699" spans="1:12" ht="15.75" customHeight="1">
      <c r="A699" s="18"/>
      <c r="B699" s="21"/>
      <c r="L699" s="11"/>
    </row>
    <row r="700" spans="1:12" ht="15.75" customHeight="1">
      <c r="A700" s="18"/>
      <c r="B700" s="21"/>
      <c r="L700" s="11"/>
    </row>
    <row r="701" spans="1:12" ht="15.75" customHeight="1">
      <c r="A701" s="18"/>
      <c r="B701" s="21"/>
      <c r="L701" s="11"/>
    </row>
    <row r="702" spans="1:12" ht="15.75" customHeight="1">
      <c r="A702" s="18"/>
      <c r="B702" s="21"/>
      <c r="L702" s="11"/>
    </row>
    <row r="703" spans="1:12" ht="15.75" customHeight="1">
      <c r="A703" s="18"/>
      <c r="B703" s="21"/>
      <c r="L703" s="11"/>
    </row>
    <row r="704" spans="1:12" ht="15.75" customHeight="1">
      <c r="A704" s="18"/>
      <c r="B704" s="21"/>
      <c r="L704" s="11"/>
    </row>
    <row r="705" spans="1:12" ht="15.75" customHeight="1">
      <c r="A705" s="18"/>
      <c r="B705" s="21"/>
      <c r="L705" s="11"/>
    </row>
    <row r="706" spans="1:12" ht="15.75" customHeight="1">
      <c r="A706" s="18"/>
      <c r="B706" s="21"/>
      <c r="L706" s="11"/>
    </row>
    <row r="707" spans="1:12" ht="15.75" customHeight="1">
      <c r="A707" s="18"/>
      <c r="B707" s="21"/>
      <c r="L707" s="11"/>
    </row>
    <row r="708" spans="1:12" ht="15.75" customHeight="1">
      <c r="A708" s="18"/>
      <c r="B708" s="21"/>
      <c r="L708" s="11"/>
    </row>
    <row r="709" spans="1:12" ht="15.75" customHeight="1">
      <c r="A709" s="18"/>
      <c r="B709" s="21"/>
      <c r="L709" s="11"/>
    </row>
    <row r="710" spans="1:12" ht="15.75" customHeight="1">
      <c r="A710" s="18"/>
      <c r="B710" s="21"/>
      <c r="L710" s="11"/>
    </row>
    <row r="711" spans="1:12" ht="15.75" customHeight="1">
      <c r="A711" s="18"/>
      <c r="B711" s="21"/>
      <c r="L711" s="11"/>
    </row>
    <row r="712" spans="1:12" ht="15.75" customHeight="1">
      <c r="A712" s="18"/>
      <c r="B712" s="21"/>
      <c r="L712" s="11"/>
    </row>
    <row r="713" spans="1:12" ht="15.75" customHeight="1">
      <c r="A713" s="18"/>
      <c r="B713" s="21"/>
      <c r="L713" s="11"/>
    </row>
    <row r="714" spans="1:12" ht="15.75" customHeight="1">
      <c r="A714" s="18"/>
      <c r="B714" s="21"/>
      <c r="L714" s="11"/>
    </row>
    <row r="715" spans="1:12" ht="15.75" customHeight="1">
      <c r="A715" s="18"/>
      <c r="B715" s="21"/>
      <c r="L715" s="11"/>
    </row>
    <row r="716" spans="1:12" ht="15.75" customHeight="1">
      <c r="A716" s="18"/>
      <c r="B716" s="21"/>
      <c r="L716" s="11"/>
    </row>
    <row r="717" spans="1:12" ht="15.75" customHeight="1">
      <c r="A717" s="18"/>
      <c r="B717" s="21"/>
      <c r="L717" s="11"/>
    </row>
    <row r="718" spans="1:12" ht="15.75" customHeight="1">
      <c r="A718" s="18"/>
      <c r="B718" s="21"/>
      <c r="L718" s="11"/>
    </row>
    <row r="719" spans="1:12" ht="15.75" customHeight="1">
      <c r="A719" s="18"/>
      <c r="B719" s="21"/>
      <c r="L719" s="11"/>
    </row>
    <row r="720" spans="1:12" ht="15.75" customHeight="1">
      <c r="A720" s="18"/>
      <c r="B720" s="21"/>
      <c r="L720" s="11"/>
    </row>
    <row r="721" spans="1:12" ht="15.75" customHeight="1">
      <c r="A721" s="18"/>
      <c r="B721" s="21"/>
      <c r="L721" s="11"/>
    </row>
    <row r="722" spans="1:12" ht="15.75" customHeight="1">
      <c r="A722" s="18"/>
      <c r="B722" s="21"/>
      <c r="L722" s="11"/>
    </row>
    <row r="723" spans="1:12" ht="15.75" customHeight="1">
      <c r="A723" s="18"/>
      <c r="B723" s="21"/>
      <c r="L723" s="11"/>
    </row>
    <row r="724" spans="1:12" ht="15.75" customHeight="1">
      <c r="A724" s="18"/>
      <c r="B724" s="21"/>
      <c r="L724" s="11"/>
    </row>
    <row r="725" spans="1:12" ht="15.75" customHeight="1">
      <c r="A725" s="18"/>
      <c r="B725" s="21"/>
      <c r="L725" s="11"/>
    </row>
    <row r="726" spans="1:12" ht="15.75" customHeight="1">
      <c r="A726" s="18"/>
      <c r="B726" s="21"/>
      <c r="L726" s="11"/>
    </row>
    <row r="727" spans="1:12" ht="15.75" customHeight="1">
      <c r="A727" s="18"/>
      <c r="B727" s="21"/>
      <c r="L727" s="11"/>
    </row>
    <row r="728" spans="1:12" ht="15.75" customHeight="1">
      <c r="A728" s="18"/>
      <c r="B728" s="21"/>
      <c r="L728" s="11"/>
    </row>
    <row r="729" spans="1:12" ht="15.75" customHeight="1">
      <c r="A729" s="18"/>
      <c r="B729" s="21"/>
      <c r="L729" s="11"/>
    </row>
    <row r="730" spans="1:12" ht="15.75" customHeight="1">
      <c r="A730" s="18"/>
      <c r="B730" s="21"/>
      <c r="L730" s="11"/>
    </row>
    <row r="731" spans="1:12" ht="15.75" customHeight="1">
      <c r="A731" s="18"/>
      <c r="B731" s="21"/>
      <c r="L731" s="11"/>
    </row>
    <row r="732" spans="1:12" ht="15.75" customHeight="1">
      <c r="A732" s="18"/>
      <c r="B732" s="21"/>
      <c r="L732" s="11"/>
    </row>
    <row r="733" spans="1:12" ht="15.75" customHeight="1">
      <c r="A733" s="18"/>
      <c r="B733" s="21"/>
      <c r="L733" s="11"/>
    </row>
    <row r="734" spans="1:12" ht="15.75" customHeight="1">
      <c r="A734" s="18"/>
      <c r="B734" s="21"/>
      <c r="L734" s="11"/>
    </row>
    <row r="735" spans="1:12" ht="15.75" customHeight="1">
      <c r="A735" s="18"/>
      <c r="B735" s="21"/>
      <c r="L735" s="11"/>
    </row>
    <row r="736" spans="1:12" ht="15.75" customHeight="1">
      <c r="A736" s="18"/>
      <c r="B736" s="21"/>
      <c r="L736" s="11"/>
    </row>
    <row r="737" spans="1:12" ht="15.75" customHeight="1">
      <c r="A737" s="18"/>
      <c r="B737" s="21"/>
      <c r="L737" s="11"/>
    </row>
    <row r="738" spans="1:12" ht="15.75" customHeight="1">
      <c r="A738" s="18"/>
      <c r="B738" s="21"/>
      <c r="L738" s="11"/>
    </row>
    <row r="739" spans="1:12" ht="15.75" customHeight="1">
      <c r="A739" s="18"/>
      <c r="B739" s="21"/>
      <c r="L739" s="11"/>
    </row>
    <row r="740" spans="1:12" ht="15.75" customHeight="1">
      <c r="A740" s="18"/>
      <c r="B740" s="21"/>
      <c r="L740" s="11"/>
    </row>
    <row r="741" spans="1:12" ht="15.75" customHeight="1">
      <c r="A741" s="18"/>
      <c r="B741" s="21"/>
      <c r="L741" s="11"/>
    </row>
    <row r="742" spans="1:12" ht="15.75" customHeight="1">
      <c r="A742" s="18"/>
      <c r="B742" s="21"/>
      <c r="L742" s="11"/>
    </row>
    <row r="743" spans="1:12" ht="15.75" customHeight="1">
      <c r="A743" s="18"/>
      <c r="B743" s="21"/>
      <c r="L743" s="11"/>
    </row>
    <row r="744" spans="1:12" ht="15.75" customHeight="1">
      <c r="A744" s="18"/>
      <c r="B744" s="21"/>
      <c r="L744" s="11"/>
    </row>
    <row r="745" spans="1:12" ht="15.75" customHeight="1">
      <c r="A745" s="18"/>
      <c r="B745" s="21"/>
      <c r="L745" s="11"/>
    </row>
    <row r="746" spans="1:12" ht="15.75" customHeight="1">
      <c r="A746" s="18"/>
      <c r="B746" s="21"/>
      <c r="L746" s="11"/>
    </row>
    <row r="747" spans="1:12" ht="15.75" customHeight="1">
      <c r="A747" s="18"/>
      <c r="B747" s="21"/>
      <c r="L747" s="11"/>
    </row>
    <row r="748" spans="1:12" ht="15.75" customHeight="1">
      <c r="A748" s="18"/>
      <c r="B748" s="21"/>
      <c r="L748" s="11"/>
    </row>
    <row r="749" spans="1:12" ht="15.75" customHeight="1">
      <c r="A749" s="18"/>
      <c r="B749" s="21"/>
      <c r="L749" s="11"/>
    </row>
    <row r="750" spans="1:12" ht="15.75" customHeight="1">
      <c r="A750" s="18"/>
      <c r="B750" s="21"/>
      <c r="L750" s="11"/>
    </row>
    <row r="751" spans="1:12" ht="15.75" customHeight="1">
      <c r="A751" s="18"/>
      <c r="B751" s="21"/>
      <c r="L751" s="11"/>
    </row>
    <row r="752" spans="1:12" ht="15.75" customHeight="1">
      <c r="A752" s="18"/>
      <c r="B752" s="21"/>
      <c r="L752" s="11"/>
    </row>
    <row r="753" spans="1:12" ht="15.75" customHeight="1">
      <c r="A753" s="18"/>
      <c r="B753" s="21"/>
      <c r="L753" s="11"/>
    </row>
    <row r="754" spans="1:12" ht="15.75" customHeight="1">
      <c r="A754" s="18"/>
      <c r="B754" s="21"/>
      <c r="L754" s="11"/>
    </row>
    <row r="755" spans="1:12" ht="15.75" customHeight="1">
      <c r="A755" s="18"/>
      <c r="B755" s="21"/>
      <c r="L755" s="11"/>
    </row>
    <row r="756" spans="1:12" ht="15.75" customHeight="1">
      <c r="A756" s="18"/>
      <c r="B756" s="21"/>
      <c r="L756" s="11"/>
    </row>
    <row r="757" spans="1:12" ht="15.75" customHeight="1">
      <c r="A757" s="18"/>
      <c r="B757" s="21"/>
      <c r="L757" s="11"/>
    </row>
    <row r="758" spans="1:12" ht="15.75" customHeight="1">
      <c r="A758" s="18"/>
      <c r="B758" s="21"/>
      <c r="L758" s="11"/>
    </row>
    <row r="759" spans="1:12" ht="15.75" customHeight="1">
      <c r="A759" s="18"/>
      <c r="B759" s="21"/>
      <c r="L759" s="11"/>
    </row>
    <row r="760" spans="1:12" ht="15.75" customHeight="1">
      <c r="A760" s="18"/>
      <c r="B760" s="21"/>
      <c r="L760" s="11"/>
    </row>
    <row r="761" spans="1:12" ht="15.75" customHeight="1">
      <c r="A761" s="18"/>
      <c r="B761" s="21"/>
      <c r="L761" s="11"/>
    </row>
    <row r="762" spans="1:12" ht="15.75" customHeight="1">
      <c r="A762" s="18"/>
      <c r="B762" s="21"/>
      <c r="L762" s="11"/>
    </row>
    <row r="763" spans="1:12" ht="15.75" customHeight="1">
      <c r="A763" s="18"/>
      <c r="B763" s="21"/>
      <c r="L763" s="11"/>
    </row>
    <row r="764" spans="1:12" ht="15.75" customHeight="1">
      <c r="A764" s="18"/>
      <c r="B764" s="21"/>
      <c r="L764" s="11"/>
    </row>
    <row r="765" spans="1:12" ht="15.75" customHeight="1">
      <c r="A765" s="18"/>
      <c r="B765" s="21"/>
      <c r="L765" s="11"/>
    </row>
    <row r="766" spans="1:12" ht="15.75" customHeight="1">
      <c r="A766" s="18"/>
      <c r="B766" s="21"/>
      <c r="L766" s="11"/>
    </row>
    <row r="767" spans="1:12" ht="15.75" customHeight="1">
      <c r="A767" s="18"/>
      <c r="B767" s="21"/>
      <c r="L767" s="11"/>
    </row>
    <row r="768" spans="1:12" ht="15.75" customHeight="1">
      <c r="A768" s="18"/>
      <c r="B768" s="21"/>
      <c r="L768" s="11"/>
    </row>
    <row r="769" spans="1:12" ht="15.75" customHeight="1">
      <c r="A769" s="18"/>
      <c r="B769" s="21"/>
      <c r="L769" s="11"/>
    </row>
    <row r="770" spans="1:12" ht="15.75" customHeight="1">
      <c r="A770" s="18"/>
      <c r="B770" s="21"/>
      <c r="L770" s="11"/>
    </row>
    <row r="771" spans="1:12" ht="15.75" customHeight="1">
      <c r="A771" s="18"/>
      <c r="B771" s="21"/>
      <c r="L771" s="11"/>
    </row>
    <row r="772" spans="1:12" ht="15.75" customHeight="1">
      <c r="A772" s="18"/>
      <c r="B772" s="21"/>
      <c r="L772" s="11"/>
    </row>
    <row r="773" spans="1:12" ht="15.75" customHeight="1">
      <c r="A773" s="18"/>
      <c r="B773" s="21"/>
      <c r="L773" s="11"/>
    </row>
    <row r="774" spans="1:12" ht="15.75" customHeight="1">
      <c r="A774" s="18"/>
      <c r="B774" s="21"/>
      <c r="L774" s="11"/>
    </row>
    <row r="775" spans="1:12" ht="15.75" customHeight="1">
      <c r="A775" s="18"/>
      <c r="B775" s="21"/>
      <c r="L775" s="11"/>
    </row>
    <row r="776" spans="1:12" ht="15.75" customHeight="1">
      <c r="A776" s="18"/>
      <c r="B776" s="21"/>
      <c r="L776" s="11"/>
    </row>
    <row r="777" spans="1:12" ht="15.75" customHeight="1">
      <c r="A777" s="18"/>
      <c r="B777" s="21"/>
      <c r="L777" s="11"/>
    </row>
    <row r="778" spans="1:12" ht="15.75" customHeight="1">
      <c r="A778" s="18"/>
      <c r="B778" s="21"/>
      <c r="L778" s="11"/>
    </row>
    <row r="779" spans="1:12" ht="15.75" customHeight="1">
      <c r="A779" s="18"/>
      <c r="B779" s="21"/>
      <c r="L779" s="11"/>
    </row>
    <row r="780" spans="1:12" ht="15.75" customHeight="1">
      <c r="A780" s="18"/>
      <c r="B780" s="21"/>
      <c r="L780" s="11"/>
    </row>
    <row r="781" spans="1:12" ht="15.75" customHeight="1">
      <c r="A781" s="18"/>
      <c r="B781" s="21"/>
      <c r="L781" s="11"/>
    </row>
    <row r="782" spans="1:12" ht="15.75" customHeight="1">
      <c r="A782" s="18"/>
      <c r="B782" s="21"/>
      <c r="L782" s="11"/>
    </row>
    <row r="783" spans="1:12" ht="15.75" customHeight="1">
      <c r="A783" s="18"/>
      <c r="B783" s="21"/>
      <c r="L783" s="11"/>
    </row>
    <row r="784" spans="1:12" ht="15.75" customHeight="1">
      <c r="A784" s="18"/>
      <c r="B784" s="21"/>
      <c r="L784" s="11"/>
    </row>
    <row r="785" spans="1:12" ht="15.75" customHeight="1">
      <c r="A785" s="18"/>
      <c r="B785" s="21"/>
      <c r="L785" s="11"/>
    </row>
    <row r="786" spans="1:12" ht="15.75" customHeight="1">
      <c r="A786" s="18"/>
      <c r="B786" s="21"/>
      <c r="L786" s="11"/>
    </row>
    <row r="787" spans="1:12" ht="15.75" customHeight="1">
      <c r="A787" s="18"/>
      <c r="B787" s="21"/>
      <c r="L787" s="11"/>
    </row>
    <row r="788" spans="1:12" ht="15.75" customHeight="1">
      <c r="A788" s="18"/>
      <c r="B788" s="21"/>
      <c r="L788" s="11"/>
    </row>
    <row r="789" spans="1:12" ht="15.75" customHeight="1">
      <c r="A789" s="18"/>
      <c r="B789" s="21"/>
      <c r="L789" s="11"/>
    </row>
    <row r="790" spans="1:12" ht="15.75" customHeight="1">
      <c r="A790" s="18"/>
      <c r="B790" s="21"/>
      <c r="L790" s="11"/>
    </row>
    <row r="791" spans="1:12" ht="15.75" customHeight="1">
      <c r="A791" s="18"/>
      <c r="B791" s="21"/>
      <c r="L791" s="11"/>
    </row>
    <row r="792" spans="1:12" ht="15.75" customHeight="1">
      <c r="A792" s="18"/>
      <c r="B792" s="21"/>
      <c r="L792" s="11"/>
    </row>
    <row r="793" spans="1:12" ht="15.75" customHeight="1">
      <c r="A793" s="18"/>
      <c r="B793" s="21"/>
      <c r="L793" s="11"/>
    </row>
    <row r="794" spans="1:12" ht="15.75" customHeight="1">
      <c r="A794" s="18"/>
      <c r="B794" s="21"/>
      <c r="L794" s="11"/>
    </row>
    <row r="795" spans="1:12" ht="15.75" customHeight="1">
      <c r="A795" s="18"/>
      <c r="B795" s="21"/>
      <c r="L795" s="11"/>
    </row>
    <row r="796" spans="1:12" ht="15.75" customHeight="1">
      <c r="A796" s="18"/>
      <c r="B796" s="21"/>
      <c r="L796" s="11"/>
    </row>
    <row r="797" spans="1:12" ht="15.75" customHeight="1">
      <c r="A797" s="18"/>
      <c r="B797" s="21"/>
      <c r="L797" s="11"/>
    </row>
    <row r="798" spans="1:12" ht="15.75" customHeight="1">
      <c r="A798" s="18"/>
      <c r="B798" s="21"/>
      <c r="L798" s="11"/>
    </row>
    <row r="799" spans="1:12" ht="15.75" customHeight="1">
      <c r="A799" s="18"/>
      <c r="B799" s="21"/>
      <c r="L799" s="11"/>
    </row>
    <row r="800" spans="1:12" ht="15.75" customHeight="1">
      <c r="A800" s="18"/>
      <c r="B800" s="21"/>
      <c r="L800" s="11"/>
    </row>
    <row r="801" spans="1:12" ht="15.75" customHeight="1">
      <c r="A801" s="18"/>
      <c r="B801" s="21"/>
      <c r="L801" s="11"/>
    </row>
    <row r="802" spans="1:12" ht="15.75" customHeight="1">
      <c r="A802" s="18"/>
      <c r="B802" s="21"/>
      <c r="L802" s="11"/>
    </row>
    <row r="803" spans="1:12" ht="15.75" customHeight="1">
      <c r="A803" s="18"/>
      <c r="B803" s="21"/>
      <c r="L803" s="11"/>
    </row>
    <row r="804" spans="1:12" ht="15.75" customHeight="1">
      <c r="A804" s="18"/>
      <c r="B804" s="21"/>
      <c r="L804" s="11"/>
    </row>
    <row r="805" spans="1:12" ht="15.75" customHeight="1">
      <c r="A805" s="18"/>
      <c r="B805" s="21"/>
      <c r="L805" s="11"/>
    </row>
    <row r="806" spans="1:12" ht="15.75" customHeight="1">
      <c r="A806" s="18"/>
      <c r="B806" s="21"/>
      <c r="L806" s="11"/>
    </row>
    <row r="807" spans="1:12" ht="15.75" customHeight="1">
      <c r="A807" s="18"/>
      <c r="B807" s="21"/>
      <c r="L807" s="11"/>
    </row>
    <row r="808" spans="1:12" ht="15.75" customHeight="1">
      <c r="A808" s="18"/>
      <c r="B808" s="21"/>
      <c r="L808" s="11"/>
    </row>
    <row r="809" spans="1:12" ht="15.75" customHeight="1">
      <c r="A809" s="18"/>
      <c r="B809" s="21"/>
      <c r="L809" s="11"/>
    </row>
    <row r="810" spans="1:12" ht="15.75" customHeight="1">
      <c r="A810" s="18"/>
      <c r="B810" s="21"/>
      <c r="L810" s="11"/>
    </row>
    <row r="811" spans="1:12" ht="15.75" customHeight="1">
      <c r="A811" s="18"/>
      <c r="B811" s="21"/>
      <c r="L811" s="11"/>
    </row>
    <row r="812" spans="1:12" ht="15.75" customHeight="1">
      <c r="A812" s="18"/>
      <c r="B812" s="21"/>
      <c r="L812" s="11"/>
    </row>
    <row r="813" spans="1:12" ht="15.75" customHeight="1">
      <c r="A813" s="18"/>
      <c r="B813" s="21"/>
      <c r="L813" s="11"/>
    </row>
    <row r="814" spans="1:12" ht="15.75" customHeight="1">
      <c r="A814" s="18"/>
      <c r="B814" s="21"/>
      <c r="L814" s="11"/>
    </row>
    <row r="815" spans="1:12" ht="15.75" customHeight="1">
      <c r="A815" s="18"/>
      <c r="B815" s="21"/>
      <c r="L815" s="11"/>
    </row>
    <row r="816" spans="1:12" ht="15.75" customHeight="1">
      <c r="A816" s="18"/>
      <c r="B816" s="21"/>
      <c r="L816" s="11"/>
    </row>
    <row r="817" spans="1:12" ht="15.75" customHeight="1">
      <c r="A817" s="18"/>
      <c r="B817" s="21"/>
      <c r="L817" s="11"/>
    </row>
    <row r="818" spans="1:12" ht="15.75" customHeight="1">
      <c r="A818" s="18"/>
      <c r="B818" s="21"/>
      <c r="L818" s="11"/>
    </row>
    <row r="819" spans="1:12" ht="15.75" customHeight="1">
      <c r="A819" s="18"/>
      <c r="B819" s="21"/>
      <c r="L819" s="11"/>
    </row>
    <row r="820" spans="1:12" ht="15.75" customHeight="1">
      <c r="A820" s="18"/>
      <c r="B820" s="21"/>
      <c r="L820" s="11"/>
    </row>
    <row r="821" spans="1:12" ht="15.75" customHeight="1">
      <c r="A821" s="18"/>
      <c r="B821" s="21"/>
      <c r="L821" s="11"/>
    </row>
    <row r="822" spans="1:12" ht="15.75" customHeight="1">
      <c r="A822" s="18"/>
      <c r="B822" s="21"/>
      <c r="L822" s="11"/>
    </row>
    <row r="823" spans="1:12" ht="15.75" customHeight="1">
      <c r="A823" s="18"/>
      <c r="B823" s="21"/>
      <c r="L823" s="11"/>
    </row>
    <row r="824" spans="1:12" ht="15.75" customHeight="1">
      <c r="A824" s="18"/>
      <c r="B824" s="21"/>
      <c r="L824" s="11"/>
    </row>
    <row r="825" spans="1:12" ht="15.75" customHeight="1">
      <c r="A825" s="18"/>
      <c r="B825" s="21"/>
      <c r="L825" s="11"/>
    </row>
    <row r="826" spans="1:12" ht="15.75" customHeight="1">
      <c r="A826" s="18"/>
      <c r="B826" s="21"/>
      <c r="L826" s="11"/>
    </row>
    <row r="827" spans="1:12" ht="15.75" customHeight="1">
      <c r="A827" s="18"/>
      <c r="B827" s="21"/>
      <c r="L827" s="11"/>
    </row>
    <row r="828" spans="1:12" ht="15.75" customHeight="1">
      <c r="A828" s="18"/>
      <c r="B828" s="21"/>
      <c r="L828" s="11"/>
    </row>
    <row r="829" spans="1:12" ht="15.75" customHeight="1">
      <c r="A829" s="18"/>
      <c r="B829" s="21"/>
      <c r="L829" s="11"/>
    </row>
    <row r="830" spans="1:12" ht="15.75" customHeight="1">
      <c r="A830" s="18"/>
      <c r="B830" s="21"/>
      <c r="L830" s="11"/>
    </row>
    <row r="831" spans="1:12" ht="15.75" customHeight="1">
      <c r="A831" s="18"/>
      <c r="B831" s="21"/>
      <c r="L831" s="11"/>
    </row>
    <row r="832" spans="1:12" ht="15.75" customHeight="1">
      <c r="A832" s="18"/>
      <c r="B832" s="21"/>
      <c r="L832" s="11"/>
    </row>
    <row r="833" spans="1:12" ht="15.75" customHeight="1">
      <c r="A833" s="18"/>
      <c r="B833" s="21"/>
      <c r="L833" s="11"/>
    </row>
    <row r="834" spans="1:12" ht="15.75" customHeight="1">
      <c r="A834" s="18"/>
      <c r="B834" s="21"/>
      <c r="L834" s="11"/>
    </row>
    <row r="835" spans="1:12" ht="15.75" customHeight="1">
      <c r="A835" s="18"/>
      <c r="B835" s="21"/>
      <c r="L835" s="11"/>
    </row>
    <row r="836" spans="1:12" ht="15.75" customHeight="1">
      <c r="A836" s="18"/>
      <c r="B836" s="21"/>
      <c r="L836" s="11"/>
    </row>
    <row r="837" spans="1:12" ht="15.75" customHeight="1">
      <c r="A837" s="18"/>
      <c r="B837" s="21"/>
      <c r="L837" s="11"/>
    </row>
    <row r="838" spans="1:12" ht="15.75" customHeight="1">
      <c r="A838" s="18"/>
      <c r="B838" s="21"/>
      <c r="L838" s="11"/>
    </row>
    <row r="839" spans="1:12" ht="15.75" customHeight="1">
      <c r="A839" s="18"/>
      <c r="B839" s="21"/>
      <c r="L839" s="11"/>
    </row>
    <row r="840" spans="1:12" ht="15.75" customHeight="1">
      <c r="A840" s="18"/>
      <c r="B840" s="21"/>
      <c r="L840" s="11"/>
    </row>
    <row r="841" spans="1:12" ht="15.75" customHeight="1">
      <c r="A841" s="18"/>
      <c r="B841" s="21"/>
      <c r="L841" s="11"/>
    </row>
    <row r="842" spans="1:12" ht="15.75" customHeight="1">
      <c r="A842" s="18"/>
      <c r="B842" s="21"/>
      <c r="L842" s="11"/>
    </row>
    <row r="843" spans="1:12" ht="15.75" customHeight="1">
      <c r="A843" s="18"/>
      <c r="B843" s="21"/>
      <c r="L843" s="11"/>
    </row>
    <row r="844" spans="1:12" ht="15.75" customHeight="1">
      <c r="A844" s="18"/>
      <c r="B844" s="21"/>
      <c r="L844" s="11"/>
    </row>
    <row r="845" spans="1:12" ht="15.75" customHeight="1">
      <c r="A845" s="18"/>
      <c r="B845" s="21"/>
      <c r="L845" s="11"/>
    </row>
    <row r="846" spans="1:12" ht="15.75" customHeight="1">
      <c r="A846" s="18"/>
      <c r="B846" s="21"/>
      <c r="L846" s="11"/>
    </row>
    <row r="847" spans="1:12" ht="15.75" customHeight="1">
      <c r="A847" s="18"/>
      <c r="B847" s="21"/>
      <c r="L847" s="11"/>
    </row>
    <row r="848" spans="1:12" ht="15.75" customHeight="1">
      <c r="A848" s="18"/>
      <c r="B848" s="21"/>
      <c r="L848" s="11"/>
    </row>
    <row r="849" spans="1:12" ht="15.75" customHeight="1">
      <c r="A849" s="18"/>
      <c r="B849" s="21"/>
      <c r="L849" s="11"/>
    </row>
    <row r="850" spans="1:12" ht="15.75" customHeight="1">
      <c r="A850" s="18"/>
      <c r="B850" s="21"/>
      <c r="L850" s="11"/>
    </row>
    <row r="851" spans="1:12" ht="15.75" customHeight="1">
      <c r="A851" s="18"/>
      <c r="B851" s="21"/>
      <c r="L851" s="11"/>
    </row>
    <row r="852" spans="1:12" ht="15.75" customHeight="1">
      <c r="A852" s="18"/>
      <c r="B852" s="21"/>
      <c r="L852" s="11"/>
    </row>
    <row r="853" spans="1:12" ht="15.75" customHeight="1">
      <c r="A853" s="18"/>
      <c r="B853" s="21"/>
      <c r="L853" s="11"/>
    </row>
    <row r="854" spans="1:12" ht="15.75" customHeight="1">
      <c r="A854" s="18"/>
      <c r="B854" s="21"/>
      <c r="L854" s="11"/>
    </row>
    <row r="855" spans="1:12" ht="15.75" customHeight="1">
      <c r="A855" s="18"/>
      <c r="B855" s="21"/>
      <c r="L855" s="11"/>
    </row>
    <row r="856" spans="1:12" ht="15.75" customHeight="1">
      <c r="A856" s="18"/>
      <c r="B856" s="21"/>
      <c r="L856" s="11"/>
    </row>
    <row r="857" spans="1:12" ht="15.75" customHeight="1">
      <c r="A857" s="18"/>
      <c r="B857" s="21"/>
      <c r="L857" s="11"/>
    </row>
    <row r="858" spans="1:12" ht="15.75" customHeight="1">
      <c r="A858" s="18"/>
      <c r="B858" s="21"/>
      <c r="L858" s="11"/>
    </row>
    <row r="859" spans="1:12" ht="15.75" customHeight="1">
      <c r="A859" s="18"/>
      <c r="B859" s="21"/>
      <c r="L859" s="11"/>
    </row>
    <row r="860" spans="1:12" ht="15.75" customHeight="1">
      <c r="A860" s="18"/>
      <c r="B860" s="21"/>
      <c r="L860" s="11"/>
    </row>
    <row r="861" spans="1:12" ht="15.75" customHeight="1">
      <c r="A861" s="18"/>
      <c r="B861" s="21"/>
      <c r="L861" s="11"/>
    </row>
    <row r="862" spans="1:12" ht="15.75" customHeight="1">
      <c r="A862" s="18"/>
      <c r="B862" s="21"/>
      <c r="L862" s="11"/>
    </row>
    <row r="863" spans="1:12" ht="15.75" customHeight="1">
      <c r="A863" s="18"/>
      <c r="B863" s="21"/>
      <c r="L863" s="11"/>
    </row>
    <row r="864" spans="1:12" ht="15.75" customHeight="1">
      <c r="A864" s="18"/>
      <c r="B864" s="21"/>
      <c r="L864" s="11"/>
    </row>
    <row r="865" spans="1:12" ht="15.75" customHeight="1">
      <c r="A865" s="18"/>
      <c r="B865" s="21"/>
      <c r="L865" s="11"/>
    </row>
    <row r="866" spans="1:12" ht="15.75" customHeight="1">
      <c r="A866" s="18"/>
      <c r="B866" s="21"/>
      <c r="L866" s="11"/>
    </row>
    <row r="867" spans="1:12" ht="15.75" customHeight="1">
      <c r="A867" s="18"/>
      <c r="B867" s="21"/>
      <c r="L867" s="11"/>
    </row>
    <row r="868" spans="1:12" ht="15.75" customHeight="1">
      <c r="A868" s="18"/>
      <c r="B868" s="21"/>
      <c r="L868" s="11"/>
    </row>
    <row r="869" spans="1:12" ht="15.75" customHeight="1">
      <c r="A869" s="18"/>
      <c r="B869" s="21"/>
      <c r="L869" s="11"/>
    </row>
    <row r="870" spans="1:12" ht="15.75" customHeight="1">
      <c r="A870" s="18"/>
      <c r="B870" s="21"/>
      <c r="L870" s="11"/>
    </row>
    <row r="871" spans="1:12" ht="15.75" customHeight="1">
      <c r="A871" s="18"/>
      <c r="B871" s="21"/>
      <c r="L871" s="11"/>
    </row>
    <row r="872" spans="1:12" ht="15.75" customHeight="1">
      <c r="A872" s="18"/>
      <c r="B872" s="21"/>
      <c r="L872" s="11"/>
    </row>
    <row r="873" spans="1:12" ht="15.75" customHeight="1">
      <c r="A873" s="18"/>
      <c r="B873" s="21"/>
      <c r="L873" s="11"/>
    </row>
    <row r="874" spans="1:12" ht="15.75" customHeight="1">
      <c r="A874" s="18"/>
      <c r="B874" s="21"/>
      <c r="L874" s="11"/>
    </row>
    <row r="875" spans="1:12" ht="15.75" customHeight="1">
      <c r="A875" s="18"/>
      <c r="B875" s="21"/>
      <c r="L875" s="11"/>
    </row>
    <row r="876" spans="1:12" ht="15.75" customHeight="1">
      <c r="A876" s="18"/>
      <c r="B876" s="21"/>
      <c r="L876" s="11"/>
    </row>
    <row r="877" spans="1:12" ht="15.75" customHeight="1">
      <c r="A877" s="18"/>
      <c r="B877" s="21"/>
      <c r="L877" s="11"/>
    </row>
    <row r="878" spans="1:12" ht="15.75" customHeight="1">
      <c r="A878" s="18"/>
      <c r="B878" s="21"/>
      <c r="L878" s="11"/>
    </row>
    <row r="879" spans="1:12" ht="15.75" customHeight="1">
      <c r="A879" s="18"/>
      <c r="B879" s="21"/>
      <c r="L879" s="11"/>
    </row>
    <row r="880" spans="1:12" ht="15.75" customHeight="1">
      <c r="A880" s="18"/>
      <c r="B880" s="21"/>
      <c r="L880" s="11"/>
    </row>
    <row r="881" spans="1:12" ht="15.75" customHeight="1">
      <c r="A881" s="18"/>
      <c r="B881" s="21"/>
      <c r="L881" s="11"/>
    </row>
    <row r="882" spans="1:12" ht="15.75" customHeight="1">
      <c r="A882" s="18"/>
      <c r="B882" s="21"/>
      <c r="L882" s="11"/>
    </row>
    <row r="883" spans="1:12" ht="15.75" customHeight="1">
      <c r="A883" s="18"/>
      <c r="B883" s="21"/>
      <c r="L883" s="11"/>
    </row>
    <row r="884" spans="1:12" ht="15.75" customHeight="1">
      <c r="A884" s="18"/>
      <c r="B884" s="21"/>
      <c r="L884" s="11"/>
    </row>
    <row r="885" spans="1:12" ht="15.75" customHeight="1">
      <c r="A885" s="18"/>
      <c r="B885" s="21"/>
      <c r="L885" s="11"/>
    </row>
    <row r="886" spans="1:12" ht="15.75" customHeight="1">
      <c r="A886" s="18"/>
      <c r="B886" s="21"/>
      <c r="L886" s="11"/>
    </row>
    <row r="887" spans="1:12" ht="15.75" customHeight="1">
      <c r="A887" s="18"/>
      <c r="B887" s="21"/>
      <c r="L887" s="11"/>
    </row>
    <row r="888" spans="1:12" ht="15.75" customHeight="1">
      <c r="A888" s="18"/>
      <c r="B888" s="21"/>
      <c r="L888" s="11"/>
    </row>
    <row r="889" spans="1:12" ht="15.75" customHeight="1">
      <c r="A889" s="18"/>
      <c r="B889" s="21"/>
      <c r="L889" s="11"/>
    </row>
    <row r="890" spans="1:12" ht="15.75" customHeight="1">
      <c r="A890" s="18"/>
      <c r="B890" s="21"/>
      <c r="L890" s="11"/>
    </row>
    <row r="891" spans="1:12" ht="15.75" customHeight="1">
      <c r="A891" s="18"/>
      <c r="B891" s="21"/>
      <c r="L891" s="11"/>
    </row>
    <row r="892" spans="1:12" ht="15.75" customHeight="1">
      <c r="A892" s="18"/>
      <c r="B892" s="21"/>
      <c r="L892" s="11"/>
    </row>
    <row r="893" spans="1:12" ht="15.75" customHeight="1">
      <c r="A893" s="18"/>
      <c r="B893" s="21"/>
      <c r="L893" s="11"/>
    </row>
    <row r="894" spans="1:12" ht="15.75" customHeight="1">
      <c r="A894" s="18"/>
      <c r="B894" s="21"/>
      <c r="L894" s="11"/>
    </row>
    <row r="895" spans="1:12" ht="15.75" customHeight="1">
      <c r="A895" s="18"/>
      <c r="B895" s="21"/>
      <c r="L895" s="11"/>
    </row>
    <row r="896" spans="1:12" ht="15.75" customHeight="1">
      <c r="A896" s="18"/>
      <c r="B896" s="21"/>
      <c r="L896" s="11"/>
    </row>
    <row r="897" spans="1:12" ht="15.75" customHeight="1">
      <c r="A897" s="18"/>
      <c r="B897" s="21"/>
      <c r="L897" s="11"/>
    </row>
    <row r="898" spans="1:12" ht="15.75" customHeight="1">
      <c r="A898" s="18"/>
      <c r="B898" s="21"/>
      <c r="L898" s="11"/>
    </row>
    <row r="899" spans="1:12" ht="15.75" customHeight="1">
      <c r="A899" s="18"/>
      <c r="B899" s="21"/>
      <c r="L899" s="11"/>
    </row>
    <row r="900" spans="1:12" ht="15.75" customHeight="1">
      <c r="A900" s="18"/>
      <c r="B900" s="21"/>
      <c r="L900" s="11"/>
    </row>
    <row r="901" spans="1:12" ht="15.75" customHeight="1">
      <c r="A901" s="18"/>
      <c r="B901" s="21"/>
      <c r="L901" s="11"/>
    </row>
    <row r="902" spans="1:12" ht="15.75" customHeight="1">
      <c r="A902" s="18"/>
      <c r="B902" s="21"/>
      <c r="L902" s="11"/>
    </row>
    <row r="903" spans="1:12" ht="15.75" customHeight="1">
      <c r="A903" s="18"/>
      <c r="B903" s="21"/>
      <c r="L903" s="11"/>
    </row>
    <row r="904" spans="1:12" ht="15.75" customHeight="1">
      <c r="A904" s="18"/>
      <c r="B904" s="21"/>
      <c r="L904" s="11"/>
    </row>
    <row r="905" spans="1:12" ht="15.75" customHeight="1">
      <c r="A905" s="18"/>
      <c r="B905" s="21"/>
      <c r="L905" s="11"/>
    </row>
    <row r="906" spans="1:12" ht="15.75" customHeight="1">
      <c r="A906" s="18"/>
      <c r="B906" s="21"/>
      <c r="L906" s="11"/>
    </row>
    <row r="907" spans="1:12" ht="15.75" customHeight="1">
      <c r="A907" s="18"/>
      <c r="B907" s="21"/>
      <c r="L907" s="11"/>
    </row>
    <row r="908" spans="1:12" ht="15.75" customHeight="1">
      <c r="A908" s="18"/>
      <c r="B908" s="21"/>
      <c r="L908" s="11"/>
    </row>
    <row r="909" spans="1:12" ht="15.75" customHeight="1">
      <c r="A909" s="18"/>
      <c r="B909" s="21"/>
      <c r="L909" s="11"/>
    </row>
    <row r="910" spans="1:12" ht="15.75" customHeight="1">
      <c r="A910" s="18"/>
      <c r="B910" s="21"/>
      <c r="L910" s="11"/>
    </row>
    <row r="911" spans="1:12" ht="15.75" customHeight="1">
      <c r="A911" s="18"/>
      <c r="B911" s="21"/>
      <c r="L911" s="11"/>
    </row>
    <row r="912" spans="1:12" ht="15.75" customHeight="1">
      <c r="A912" s="18"/>
      <c r="B912" s="21"/>
      <c r="L912" s="11"/>
    </row>
    <row r="913" spans="1:12" ht="15.75" customHeight="1">
      <c r="A913" s="18"/>
      <c r="B913" s="21"/>
      <c r="L913" s="11"/>
    </row>
    <row r="914" spans="1:12" ht="15.75" customHeight="1">
      <c r="A914" s="18"/>
      <c r="B914" s="21"/>
      <c r="L914" s="11"/>
    </row>
    <row r="915" spans="1:12" ht="15.75" customHeight="1">
      <c r="A915" s="18"/>
      <c r="B915" s="21"/>
      <c r="L915" s="11"/>
    </row>
    <row r="916" spans="1:12" ht="15.75" customHeight="1">
      <c r="A916" s="18"/>
      <c r="B916" s="21"/>
      <c r="L916" s="11"/>
    </row>
    <row r="917" spans="1:12" ht="15.75" customHeight="1">
      <c r="A917" s="18"/>
      <c r="B917" s="21"/>
      <c r="L917" s="11"/>
    </row>
    <row r="918" spans="1:12" ht="15.75" customHeight="1">
      <c r="A918" s="18"/>
      <c r="B918" s="21"/>
      <c r="L918" s="11"/>
    </row>
    <row r="919" spans="1:12" ht="15.75" customHeight="1">
      <c r="A919" s="18"/>
      <c r="B919" s="21"/>
      <c r="L919" s="11"/>
    </row>
    <row r="920" spans="1:12" ht="15.75" customHeight="1">
      <c r="A920" s="18"/>
      <c r="B920" s="21"/>
      <c r="L920" s="11"/>
    </row>
    <row r="921" spans="1:12" ht="15.75" customHeight="1">
      <c r="A921" s="18"/>
      <c r="B921" s="21"/>
      <c r="L921" s="11"/>
    </row>
    <row r="922" spans="1:12" ht="15.75" customHeight="1">
      <c r="A922" s="18"/>
      <c r="B922" s="21"/>
      <c r="L922" s="11"/>
    </row>
    <row r="923" spans="1:12" ht="15.75" customHeight="1">
      <c r="A923" s="18"/>
      <c r="B923" s="21"/>
      <c r="L923" s="11"/>
    </row>
    <row r="924" spans="1:12" ht="15.75" customHeight="1">
      <c r="A924" s="18"/>
      <c r="B924" s="21"/>
      <c r="L924" s="11"/>
    </row>
    <row r="925" spans="1:12" ht="15.75" customHeight="1">
      <c r="A925" s="18"/>
      <c r="B925" s="21"/>
      <c r="L925" s="11"/>
    </row>
    <row r="926" spans="1:12" ht="15.75" customHeight="1">
      <c r="A926" s="18"/>
      <c r="B926" s="21"/>
      <c r="L926" s="11"/>
    </row>
    <row r="927" spans="1:12" ht="15.75" customHeight="1">
      <c r="A927" s="18"/>
      <c r="B927" s="21"/>
      <c r="L927" s="11"/>
    </row>
    <row r="928" spans="1:12" ht="15.75" customHeight="1">
      <c r="A928" s="18"/>
      <c r="B928" s="21"/>
      <c r="L928" s="11"/>
    </row>
    <row r="929" spans="1:12" ht="15.75" customHeight="1">
      <c r="A929" s="18"/>
      <c r="B929" s="21"/>
      <c r="L929" s="11"/>
    </row>
    <row r="930" spans="1:12" ht="15.75" customHeight="1">
      <c r="A930" s="18"/>
      <c r="B930" s="21"/>
      <c r="L930" s="11"/>
    </row>
    <row r="931" spans="1:12" ht="15.75" customHeight="1">
      <c r="A931" s="18"/>
      <c r="B931" s="21"/>
      <c r="L931" s="11"/>
    </row>
    <row r="932" spans="1:12" ht="15.75" customHeight="1">
      <c r="A932" s="18"/>
      <c r="B932" s="21"/>
      <c r="L932" s="11"/>
    </row>
    <row r="933" spans="1:12" ht="15.75" customHeight="1">
      <c r="A933" s="18"/>
      <c r="B933" s="21"/>
      <c r="L933" s="11"/>
    </row>
    <row r="934" spans="1:12" ht="15.75" customHeight="1">
      <c r="A934" s="18"/>
      <c r="B934" s="21"/>
      <c r="L934" s="11"/>
    </row>
    <row r="935" spans="1:12" ht="15.75" customHeight="1">
      <c r="A935" s="18"/>
      <c r="B935" s="21"/>
      <c r="L935" s="11"/>
    </row>
    <row r="936" spans="1:12" ht="15.75" customHeight="1">
      <c r="A936" s="18"/>
      <c r="B936" s="21"/>
      <c r="L936" s="11"/>
    </row>
    <row r="937" spans="1:12" ht="15.75" customHeight="1">
      <c r="A937" s="18"/>
      <c r="B937" s="21"/>
      <c r="L937" s="11"/>
    </row>
    <row r="938" spans="1:12" ht="15.75" customHeight="1">
      <c r="A938" s="18"/>
      <c r="B938" s="21"/>
      <c r="L938" s="11"/>
    </row>
    <row r="939" spans="1:12" ht="15.75" customHeight="1">
      <c r="A939" s="18"/>
      <c r="B939" s="21"/>
      <c r="L939" s="11"/>
    </row>
    <row r="940" spans="1:12" ht="15.75" customHeight="1">
      <c r="A940" s="18"/>
      <c r="B940" s="21"/>
      <c r="L940" s="11"/>
    </row>
    <row r="941" spans="1:12" ht="15.75" customHeight="1">
      <c r="A941" s="18"/>
      <c r="B941" s="21"/>
      <c r="L941" s="11"/>
    </row>
    <row r="942" spans="1:12" ht="15.75" customHeight="1">
      <c r="A942" s="18"/>
      <c r="B942" s="21"/>
      <c r="L942" s="11"/>
    </row>
    <row r="943" spans="1:12" ht="15.75" customHeight="1">
      <c r="A943" s="18"/>
      <c r="B943" s="21"/>
      <c r="L943" s="11"/>
    </row>
    <row r="944" spans="1:12" ht="15.75" customHeight="1">
      <c r="A944" s="18"/>
      <c r="B944" s="21"/>
      <c r="L944" s="11"/>
    </row>
    <row r="945" spans="1:12" ht="15.75" customHeight="1">
      <c r="A945" s="18"/>
      <c r="B945" s="21"/>
      <c r="L945" s="11"/>
    </row>
    <row r="946" spans="1:12" ht="15.75" customHeight="1">
      <c r="A946" s="18"/>
      <c r="B946" s="21"/>
      <c r="L946" s="11"/>
    </row>
    <row r="947" spans="1:12" ht="15.75" customHeight="1">
      <c r="A947" s="18"/>
      <c r="B947" s="21"/>
      <c r="L947" s="11"/>
    </row>
    <row r="948" spans="1:12" ht="15.75" customHeight="1">
      <c r="A948" s="18"/>
      <c r="B948" s="21"/>
      <c r="L948" s="11"/>
    </row>
    <row r="949" spans="1:12" ht="15.75" customHeight="1">
      <c r="A949" s="18"/>
      <c r="B949" s="21"/>
      <c r="L949" s="11"/>
    </row>
    <row r="950" spans="1:12" ht="15.75" customHeight="1">
      <c r="A950" s="18"/>
      <c r="B950" s="21"/>
      <c r="L950" s="11"/>
    </row>
    <row r="951" spans="1:12" ht="15.75" customHeight="1">
      <c r="A951" s="18"/>
      <c r="B951" s="21"/>
      <c r="L951" s="11"/>
    </row>
    <row r="952" spans="1:12" ht="15.75" customHeight="1">
      <c r="A952" s="18"/>
      <c r="B952" s="21"/>
      <c r="L952" s="11"/>
    </row>
    <row r="953" spans="1:12" ht="15.75" customHeight="1">
      <c r="A953" s="18"/>
      <c r="B953" s="21"/>
      <c r="L953" s="11"/>
    </row>
    <row r="954" spans="1:12" ht="15.75" customHeight="1">
      <c r="A954" s="18"/>
      <c r="B954" s="21"/>
      <c r="L954" s="11"/>
    </row>
    <row r="955" spans="1:12" ht="15.75" customHeight="1">
      <c r="A955" s="18"/>
      <c r="B955" s="21"/>
      <c r="L955" s="11"/>
    </row>
    <row r="956" spans="1:12" ht="15.75" customHeight="1">
      <c r="A956" s="18"/>
      <c r="B956" s="21"/>
      <c r="L956" s="11"/>
    </row>
    <row r="957" spans="1:12" ht="15.75" customHeight="1">
      <c r="A957" s="18"/>
      <c r="B957" s="21"/>
      <c r="L957" s="11"/>
    </row>
    <row r="958" spans="1:12" ht="15.75" customHeight="1">
      <c r="A958" s="18"/>
      <c r="B958" s="21"/>
      <c r="L958" s="11"/>
    </row>
    <row r="959" spans="1:12" ht="15.75" customHeight="1">
      <c r="A959" s="18"/>
      <c r="B959" s="21"/>
      <c r="L959" s="11"/>
    </row>
    <row r="960" spans="1:12" ht="15.75" customHeight="1">
      <c r="A960" s="18"/>
      <c r="B960" s="21"/>
      <c r="L960" s="11"/>
    </row>
    <row r="961" spans="1:12" ht="15.75" customHeight="1">
      <c r="A961" s="18"/>
      <c r="B961" s="21"/>
      <c r="L961" s="11"/>
    </row>
    <row r="962" spans="1:12" ht="15.75" customHeight="1">
      <c r="A962" s="18"/>
      <c r="B962" s="21"/>
      <c r="L962" s="11"/>
    </row>
    <row r="963" spans="1:12" ht="15.75" customHeight="1">
      <c r="A963" s="18"/>
      <c r="B963" s="21"/>
      <c r="L963" s="11"/>
    </row>
    <row r="964" spans="1:12" ht="15.75" customHeight="1">
      <c r="A964" s="18"/>
      <c r="B964" s="21"/>
      <c r="L964" s="11"/>
    </row>
    <row r="965" spans="1:12" ht="15.75" customHeight="1">
      <c r="A965" s="18"/>
      <c r="B965" s="21"/>
      <c r="L965" s="11"/>
    </row>
    <row r="966" spans="1:12" ht="15.75" customHeight="1">
      <c r="A966" s="18"/>
      <c r="B966" s="21"/>
      <c r="L966" s="11"/>
    </row>
    <row r="967" spans="1:12" ht="15.75" customHeight="1">
      <c r="A967" s="18"/>
      <c r="B967" s="21"/>
      <c r="L967" s="11"/>
    </row>
    <row r="968" spans="1:12" ht="15.75" customHeight="1">
      <c r="A968" s="18"/>
      <c r="B968" s="21"/>
      <c r="L968" s="11"/>
    </row>
    <row r="969" spans="1:12" ht="15.75" customHeight="1">
      <c r="A969" s="18"/>
      <c r="B969" s="21"/>
      <c r="L969" s="11"/>
    </row>
    <row r="970" spans="1:12" ht="15.75" customHeight="1">
      <c r="A970" s="18"/>
      <c r="B970" s="21"/>
      <c r="L970" s="11"/>
    </row>
    <row r="971" spans="1:12" ht="15.75" customHeight="1">
      <c r="A971" s="18"/>
      <c r="B971" s="21"/>
      <c r="L971" s="11"/>
    </row>
    <row r="972" spans="1:12" ht="15.75" customHeight="1">
      <c r="A972" s="18"/>
      <c r="B972" s="21"/>
      <c r="L972" s="11"/>
    </row>
    <row r="973" spans="1:12" ht="15.75" customHeight="1">
      <c r="A973" s="18"/>
      <c r="B973" s="21"/>
      <c r="L973" s="11"/>
    </row>
    <row r="974" spans="1:12" ht="15.75" customHeight="1">
      <c r="A974" s="18"/>
      <c r="B974" s="21"/>
      <c r="L974" s="11"/>
    </row>
    <row r="975" spans="1:12" ht="15.75" customHeight="1">
      <c r="A975" s="18"/>
      <c r="B975" s="21"/>
      <c r="L975" s="11"/>
    </row>
    <row r="976" spans="1:12" ht="15.75" customHeight="1">
      <c r="A976" s="18"/>
      <c r="B976" s="21"/>
      <c r="L976" s="11"/>
    </row>
    <row r="977" spans="1:12" ht="15.75" customHeight="1">
      <c r="A977" s="18"/>
      <c r="B977" s="21"/>
      <c r="L977" s="11"/>
    </row>
    <row r="978" spans="1:12" ht="15.75" customHeight="1">
      <c r="A978" s="18"/>
      <c r="B978" s="21"/>
      <c r="L978" s="11"/>
    </row>
    <row r="979" spans="1:12" ht="15.75" customHeight="1">
      <c r="A979" s="18"/>
      <c r="B979" s="21"/>
      <c r="L979" s="11"/>
    </row>
    <row r="980" spans="1:12" ht="15.75" customHeight="1">
      <c r="A980" s="18"/>
      <c r="B980" s="21"/>
      <c r="L980" s="11"/>
    </row>
    <row r="981" spans="1:12" ht="15.75" customHeight="1">
      <c r="A981" s="18"/>
      <c r="B981" s="21"/>
      <c r="L981" s="11"/>
    </row>
    <row r="982" spans="1:12" ht="15.75" customHeight="1">
      <c r="A982" s="18"/>
      <c r="B982" s="21"/>
      <c r="L982" s="11"/>
    </row>
    <row r="983" spans="1:12" ht="15.75" customHeight="1">
      <c r="A983" s="18"/>
      <c r="B983" s="21"/>
      <c r="L983" s="11"/>
    </row>
    <row r="984" spans="1:12" ht="15.75" customHeight="1">
      <c r="A984" s="18"/>
      <c r="B984" s="21"/>
      <c r="L984" s="11"/>
    </row>
    <row r="985" spans="1:12" ht="15.75" customHeight="1">
      <c r="A985" s="18"/>
      <c r="B985" s="21"/>
      <c r="L985" s="11"/>
    </row>
    <row r="986" spans="1:12" ht="15.75" customHeight="1">
      <c r="A986" s="18"/>
      <c r="B986" s="21"/>
      <c r="L986" s="11"/>
    </row>
    <row r="987" spans="1:12" ht="15.75" customHeight="1">
      <c r="A987" s="18"/>
      <c r="B987" s="21"/>
      <c r="L987" s="11"/>
    </row>
    <row r="988" spans="1:12" ht="15.75" customHeight="1">
      <c r="A988" s="18"/>
      <c r="B988" s="21"/>
      <c r="L988" s="11"/>
    </row>
    <row r="989" spans="1:12" ht="15.75" customHeight="1">
      <c r="A989" s="18"/>
      <c r="B989" s="21"/>
      <c r="L989" s="11"/>
    </row>
    <row r="990" spans="1:12" ht="15.75" customHeight="1">
      <c r="A990" s="18"/>
      <c r="B990" s="21"/>
      <c r="L990" s="11"/>
    </row>
    <row r="991" spans="1:12" ht="15.75" customHeight="1">
      <c r="A991" s="18"/>
      <c r="B991" s="21"/>
      <c r="L991" s="11"/>
    </row>
    <row r="992" spans="1:12" ht="15.75" customHeight="1">
      <c r="A992" s="18"/>
      <c r="B992" s="21"/>
      <c r="L992" s="11"/>
    </row>
    <row r="993" spans="1:12" ht="15.75" customHeight="1">
      <c r="A993" s="18"/>
      <c r="B993" s="21"/>
      <c r="L993" s="11"/>
    </row>
    <row r="994" spans="1:12" ht="15.75" customHeight="1">
      <c r="A994" s="18"/>
      <c r="B994" s="21"/>
      <c r="L994" s="11"/>
    </row>
    <row r="995" spans="1:12" ht="15.75" customHeight="1">
      <c r="A995" s="18"/>
      <c r="B995" s="21"/>
      <c r="L995" s="11"/>
    </row>
    <row r="996" spans="1:12" ht="15.75" customHeight="1">
      <c r="A996" s="18"/>
      <c r="B996" s="21"/>
      <c r="L996" s="11"/>
    </row>
    <row r="997" spans="1:12" ht="15.75" customHeight="1">
      <c r="A997" s="18"/>
      <c r="B997" s="21"/>
      <c r="L997" s="11"/>
    </row>
    <row r="998" spans="1:12" ht="15.75" customHeight="1">
      <c r="A998" s="18"/>
      <c r="B998" s="21"/>
      <c r="L998" s="11"/>
    </row>
    <row r="999" spans="1:12" ht="15.75" customHeight="1">
      <c r="A999" s="18"/>
      <c r="B999" s="21"/>
      <c r="L999" s="11"/>
    </row>
    <row r="1000" spans="1:12" ht="15.75" customHeight="1">
      <c r="A1000" s="18"/>
      <c r="B1000" s="21"/>
      <c r="L1000" s="11"/>
    </row>
    <row r="1001" spans="1:12" ht="15.75" customHeight="1">
      <c r="A1001" s="18"/>
      <c r="B1001" s="21"/>
      <c r="L1001" s="11"/>
    </row>
    <row r="1002" spans="1:12" ht="15.75" customHeight="1">
      <c r="A1002" s="18"/>
      <c r="B1002" s="21"/>
      <c r="L1002" s="11"/>
    </row>
    <row r="1003" spans="1:12" ht="15.75" customHeight="1">
      <c r="A1003" s="18"/>
      <c r="B1003" s="21"/>
      <c r="L1003" s="11"/>
    </row>
    <row r="1004" spans="1:12" ht="15.75" customHeight="1">
      <c r="A1004" s="18"/>
      <c r="B1004" s="21"/>
      <c r="L1004" s="11"/>
    </row>
    <row r="1005" spans="1:12" ht="15.75" customHeight="1">
      <c r="A1005" s="18"/>
      <c r="B1005" s="21"/>
      <c r="L1005" s="11"/>
    </row>
    <row r="1006" spans="1:12" ht="15.75" customHeight="1">
      <c r="A1006" s="18"/>
      <c r="B1006" s="21"/>
      <c r="L1006" s="11"/>
    </row>
    <row r="1007" spans="1:12" ht="15.75" customHeight="1">
      <c r="A1007" s="18"/>
      <c r="B1007" s="21"/>
      <c r="L1007" s="11"/>
    </row>
    <row r="1008" spans="1:12" ht="15.75" customHeight="1">
      <c r="A1008" s="18"/>
      <c r="B1008" s="21"/>
      <c r="L1008" s="11"/>
    </row>
    <row r="1009" spans="1:12" ht="15.75" customHeight="1">
      <c r="A1009" s="18"/>
      <c r="B1009" s="21"/>
      <c r="L1009" s="11"/>
    </row>
    <row r="1010" spans="1:12" ht="15.75" customHeight="1">
      <c r="A1010" s="18"/>
      <c r="B1010" s="21"/>
      <c r="L1010" s="11"/>
    </row>
    <row r="1011" spans="1:12" ht="15.75" customHeight="1">
      <c r="A1011" s="18"/>
      <c r="B1011" s="21"/>
      <c r="L1011" s="11"/>
    </row>
  </sheetData>
  <mergeCells count="5">
    <mergeCell ref="A1:G1"/>
    <mergeCell ref="C3:G3"/>
    <mergeCell ref="H3:L3"/>
    <mergeCell ref="A3:A4"/>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DATA_SURAT_PELANTIKAN</vt:lpstr>
      <vt:lpstr>KEKERAPAN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00159B</dc:creator>
  <cp:lastModifiedBy>UMK</cp:lastModifiedBy>
  <dcterms:created xsi:type="dcterms:W3CDTF">2024-04-25T00:46:00Z</dcterms:created>
  <dcterms:modified xsi:type="dcterms:W3CDTF">2026-01-12T04:40:32Z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49DBDEC4676D4A3BA132F521EF2A9007_12</vt:lpwstr>
  </property>
  <property fmtid="{D5CDD505-2E9C-101B-9397-08002B2CF9AE}" pid="3" name="KSOProductBuildVer">
    <vt:lpwstr>1033-12.2.0.23155</vt:lpwstr>
  </property>
</Properties>
</file>