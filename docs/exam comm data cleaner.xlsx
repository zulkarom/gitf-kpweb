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701"/>
  <workbookPr/>
  <mc:AlternateContent xmlns:mc="http://schemas.openxmlformats.org/markup-compatibility/2006">
    <mc:Choice Requires="x15">
      <x15ac:absPath xmlns:x15ac="http://schemas.microsoft.com/office/spreadsheetml/2010/11/ac" url="D:\millions\xampp8.1.25\htdocs\projects\gitf-kpweb\docs\"/>
    </mc:Choice>
  </mc:AlternateContent>
  <xr:revisionPtr revIDLastSave="0" documentId="13_ncr:1_{1BFE7C1E-418D-47BB-BD76-4A8875BB8FCC}" xr6:coauthVersionLast="47" xr6:coauthVersionMax="47" xr10:uidLastSave="{00000000-0000-0000-0000-000000000000}"/>
  <bookViews>
    <workbookView xWindow="-120" yWindow="-120" windowWidth="29040" windowHeight="15840" activeTab="3" xr2:uid="{00000000-000D-0000-FFFF-FFFF00000000}"/>
  </bookViews>
  <sheets>
    <sheet name="DATA_SURAT_PELANTIKAN" sheetId="1" r:id="rId1"/>
    <sheet name="KEKERAPAN " sheetId="2" r:id="rId2"/>
    <sheet name="Sheet1" sheetId="3" r:id="rId3"/>
    <sheet name="table" sheetId="4" r:id="rId4"/>
  </sheets>
  <definedNames>
    <definedName name="_xlnm._FilterDatabase" localSheetId="0" hidden="1">DATA_SURAT_PELANTIKAN!$A$1:$K$132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95" i="2" l="1"/>
  <c r="K96" i="2"/>
  <c r="K97" i="2"/>
  <c r="K98" i="2"/>
  <c r="K99" i="2"/>
  <c r="K100" i="2"/>
  <c r="J95" i="2"/>
  <c r="J96" i="2"/>
  <c r="J97" i="2"/>
  <c r="J98" i="2"/>
  <c r="J99" i="2"/>
  <c r="J100" i="2"/>
  <c r="I95" i="2"/>
  <c r="I96" i="2"/>
  <c r="I97" i="2"/>
  <c r="I98" i="2"/>
  <c r="I99" i="2"/>
  <c r="I100" i="2"/>
  <c r="H95" i="2"/>
  <c r="H96" i="2"/>
  <c r="H97" i="2"/>
  <c r="H98" i="2"/>
  <c r="H99" i="2"/>
  <c r="H100" i="2"/>
  <c r="F95" i="2"/>
  <c r="F96" i="2"/>
  <c r="F97" i="2"/>
  <c r="F98" i="2"/>
  <c r="F99" i="2"/>
  <c r="F100" i="2"/>
  <c r="E95" i="2"/>
  <c r="E96" i="2"/>
  <c r="E97" i="2"/>
  <c r="E98" i="2"/>
  <c r="E99" i="2"/>
  <c r="E100" i="2"/>
  <c r="D95" i="2"/>
  <c r="D96" i="2"/>
  <c r="D97" i="2"/>
  <c r="D98" i="2"/>
  <c r="D99" i="2"/>
  <c r="D100" i="2"/>
  <c r="C95" i="2"/>
  <c r="C96" i="2"/>
  <c r="C97" i="2"/>
  <c r="C98" i="2"/>
  <c r="C99" i="2"/>
  <c r="C100" i="2"/>
  <c r="K93" i="2"/>
  <c r="K94" i="2"/>
  <c r="J93" i="2"/>
  <c r="J94" i="2"/>
  <c r="I93" i="2"/>
  <c r="I94" i="2"/>
  <c r="H93" i="2"/>
  <c r="H94" i="2"/>
  <c r="F93" i="2"/>
  <c r="F94" i="2"/>
  <c r="E93" i="2"/>
  <c r="E94" i="2"/>
  <c r="D93" i="2"/>
  <c r="D94" i="2"/>
  <c r="C93" i="2"/>
  <c r="C94" i="2"/>
  <c r="K92" i="2"/>
  <c r="J92" i="2"/>
  <c r="I92" i="2"/>
  <c r="H92" i="2"/>
  <c r="F92" i="2"/>
  <c r="E92" i="2"/>
  <c r="D92" i="2"/>
  <c r="C92" i="2"/>
  <c r="K91" i="2"/>
  <c r="J91" i="2"/>
  <c r="I91" i="2"/>
  <c r="H91" i="2"/>
  <c r="F91" i="2"/>
  <c r="E91" i="2"/>
  <c r="D91" i="2"/>
  <c r="C91" i="2"/>
  <c r="K90" i="2"/>
  <c r="J90" i="2"/>
  <c r="I90" i="2"/>
  <c r="H90" i="2"/>
  <c r="F90" i="2"/>
  <c r="E90" i="2"/>
  <c r="D90" i="2"/>
  <c r="C90" i="2"/>
  <c r="K89" i="2"/>
  <c r="J89" i="2"/>
  <c r="I89" i="2"/>
  <c r="H89" i="2"/>
  <c r="F89" i="2"/>
  <c r="E89" i="2"/>
  <c r="D89" i="2"/>
  <c r="C89" i="2"/>
  <c r="K88" i="2"/>
  <c r="J88" i="2"/>
  <c r="I88" i="2"/>
  <c r="H88" i="2"/>
  <c r="F88" i="2"/>
  <c r="E88" i="2"/>
  <c r="D88" i="2"/>
  <c r="C88" i="2"/>
  <c r="K87" i="2"/>
  <c r="J87" i="2"/>
  <c r="I87" i="2"/>
  <c r="H87" i="2"/>
  <c r="F87" i="2"/>
  <c r="E87" i="2"/>
  <c r="D87" i="2"/>
  <c r="C87" i="2"/>
  <c r="K86" i="2"/>
  <c r="J86" i="2"/>
  <c r="I86" i="2"/>
  <c r="H86" i="2"/>
  <c r="F86" i="2"/>
  <c r="E86" i="2"/>
  <c r="D86" i="2"/>
  <c r="C86" i="2"/>
  <c r="K85" i="2"/>
  <c r="J85" i="2"/>
  <c r="I85" i="2"/>
  <c r="H85" i="2"/>
  <c r="F85" i="2"/>
  <c r="E85" i="2"/>
  <c r="D85" i="2"/>
  <c r="C85" i="2"/>
  <c r="K84" i="2"/>
  <c r="J84" i="2"/>
  <c r="I84" i="2"/>
  <c r="H84" i="2"/>
  <c r="F84" i="2"/>
  <c r="E84" i="2"/>
  <c r="D84" i="2"/>
  <c r="C84" i="2"/>
  <c r="K83" i="2"/>
  <c r="J83" i="2"/>
  <c r="I83" i="2"/>
  <c r="H83" i="2"/>
  <c r="F83" i="2"/>
  <c r="E83" i="2"/>
  <c r="D83" i="2"/>
  <c r="C83" i="2"/>
  <c r="K82" i="2"/>
  <c r="J82" i="2"/>
  <c r="I82" i="2"/>
  <c r="H82" i="2"/>
  <c r="F82" i="2"/>
  <c r="E82" i="2"/>
  <c r="D82" i="2"/>
  <c r="C82" i="2"/>
  <c r="K81" i="2"/>
  <c r="J81" i="2"/>
  <c r="I81" i="2"/>
  <c r="H81" i="2"/>
  <c r="F81" i="2"/>
  <c r="E81" i="2"/>
  <c r="D81" i="2"/>
  <c r="C81" i="2"/>
  <c r="K80" i="2"/>
  <c r="J80" i="2"/>
  <c r="I80" i="2"/>
  <c r="H80" i="2"/>
  <c r="F80" i="2"/>
  <c r="E80" i="2"/>
  <c r="D80" i="2"/>
  <c r="C80" i="2"/>
  <c r="K79" i="2"/>
  <c r="J79" i="2"/>
  <c r="I79" i="2"/>
  <c r="H79" i="2"/>
  <c r="F79" i="2"/>
  <c r="E79" i="2"/>
  <c r="D79" i="2"/>
  <c r="C79" i="2"/>
  <c r="K78" i="2"/>
  <c r="J78" i="2"/>
  <c r="I78" i="2"/>
  <c r="H78" i="2"/>
  <c r="F78" i="2"/>
  <c r="E78" i="2"/>
  <c r="D78" i="2"/>
  <c r="C78" i="2"/>
  <c r="K77" i="2"/>
  <c r="J77" i="2"/>
  <c r="I77" i="2"/>
  <c r="H77" i="2"/>
  <c r="F77" i="2"/>
  <c r="E77" i="2"/>
  <c r="D77" i="2"/>
  <c r="C77" i="2"/>
  <c r="K76" i="2"/>
  <c r="J76" i="2"/>
  <c r="I76" i="2"/>
  <c r="H76" i="2"/>
  <c r="F76" i="2"/>
  <c r="E76" i="2"/>
  <c r="D76" i="2"/>
  <c r="C76" i="2"/>
  <c r="K75" i="2"/>
  <c r="J75" i="2"/>
  <c r="I75" i="2"/>
  <c r="H75" i="2"/>
  <c r="F75" i="2"/>
  <c r="E75" i="2"/>
  <c r="D75" i="2"/>
  <c r="C75" i="2"/>
  <c r="K74" i="2"/>
  <c r="J74" i="2"/>
  <c r="I74" i="2"/>
  <c r="H74" i="2"/>
  <c r="F74" i="2"/>
  <c r="E74" i="2"/>
  <c r="D74" i="2"/>
  <c r="C74" i="2"/>
  <c r="K73" i="2"/>
  <c r="J73" i="2"/>
  <c r="I73" i="2"/>
  <c r="H73" i="2"/>
  <c r="F73" i="2"/>
  <c r="E73" i="2"/>
  <c r="D73" i="2"/>
  <c r="C73" i="2"/>
  <c r="K72" i="2"/>
  <c r="J72" i="2"/>
  <c r="I72" i="2"/>
  <c r="H72" i="2"/>
  <c r="F72" i="2"/>
  <c r="E72" i="2"/>
  <c r="D72" i="2"/>
  <c r="C72" i="2"/>
  <c r="K71" i="2"/>
  <c r="J71" i="2"/>
  <c r="I71" i="2"/>
  <c r="H71" i="2"/>
  <c r="F71" i="2"/>
  <c r="E71" i="2"/>
  <c r="D71" i="2"/>
  <c r="C71" i="2"/>
  <c r="K70" i="2"/>
  <c r="J70" i="2"/>
  <c r="I70" i="2"/>
  <c r="H70" i="2"/>
  <c r="F70" i="2"/>
  <c r="E70" i="2"/>
  <c r="D70" i="2"/>
  <c r="C70" i="2"/>
  <c r="K69" i="2"/>
  <c r="J69" i="2"/>
  <c r="I69" i="2"/>
  <c r="H69" i="2"/>
  <c r="F69" i="2"/>
  <c r="E69" i="2"/>
  <c r="D69" i="2"/>
  <c r="C69" i="2"/>
  <c r="K68" i="2"/>
  <c r="J68" i="2"/>
  <c r="I68" i="2"/>
  <c r="H68" i="2"/>
  <c r="F68" i="2"/>
  <c r="E68" i="2"/>
  <c r="D68" i="2"/>
  <c r="C68" i="2"/>
  <c r="K67" i="2"/>
  <c r="J67" i="2"/>
  <c r="I67" i="2"/>
  <c r="H67" i="2"/>
  <c r="F67" i="2"/>
  <c r="E67" i="2"/>
  <c r="D67" i="2"/>
  <c r="C67" i="2"/>
  <c r="K66" i="2"/>
  <c r="J66" i="2"/>
  <c r="I66" i="2"/>
  <c r="H66" i="2"/>
  <c r="F66" i="2"/>
  <c r="E66" i="2"/>
  <c r="D66" i="2"/>
  <c r="C66" i="2"/>
  <c r="K65" i="2"/>
  <c r="J65" i="2"/>
  <c r="I65" i="2"/>
  <c r="H65" i="2"/>
  <c r="F65" i="2"/>
  <c r="E65" i="2"/>
  <c r="D65" i="2"/>
  <c r="C65" i="2"/>
  <c r="K64" i="2"/>
  <c r="J64" i="2"/>
  <c r="I64" i="2"/>
  <c r="H64" i="2"/>
  <c r="F64" i="2"/>
  <c r="E64" i="2"/>
  <c r="D64" i="2"/>
  <c r="C64" i="2"/>
  <c r="K63" i="2"/>
  <c r="J63" i="2"/>
  <c r="I63" i="2"/>
  <c r="H63" i="2"/>
  <c r="F63" i="2"/>
  <c r="E63" i="2"/>
  <c r="D63" i="2"/>
  <c r="C63" i="2"/>
  <c r="K62" i="2"/>
  <c r="J62" i="2"/>
  <c r="I62" i="2"/>
  <c r="H62" i="2"/>
  <c r="F62" i="2"/>
  <c r="E62" i="2"/>
  <c r="D62" i="2"/>
  <c r="C62" i="2"/>
  <c r="K61" i="2"/>
  <c r="J61" i="2"/>
  <c r="I61" i="2"/>
  <c r="H61" i="2"/>
  <c r="F61" i="2"/>
  <c r="E61" i="2"/>
  <c r="D61" i="2"/>
  <c r="C61" i="2"/>
  <c r="K60" i="2"/>
  <c r="J60" i="2"/>
  <c r="I60" i="2"/>
  <c r="H60" i="2"/>
  <c r="F60" i="2"/>
  <c r="E60" i="2"/>
  <c r="D60" i="2"/>
  <c r="C60" i="2"/>
  <c r="K59" i="2"/>
  <c r="J59" i="2"/>
  <c r="I59" i="2"/>
  <c r="H59" i="2"/>
  <c r="F59" i="2"/>
  <c r="E59" i="2"/>
  <c r="D59" i="2"/>
  <c r="C59" i="2"/>
  <c r="K58" i="2"/>
  <c r="J58" i="2"/>
  <c r="I58" i="2"/>
  <c r="H58" i="2"/>
  <c r="F58" i="2"/>
  <c r="E58" i="2"/>
  <c r="D58" i="2"/>
  <c r="C58" i="2"/>
  <c r="K57" i="2"/>
  <c r="J57" i="2"/>
  <c r="I57" i="2"/>
  <c r="H57" i="2"/>
  <c r="F57" i="2"/>
  <c r="E57" i="2"/>
  <c r="D57" i="2"/>
  <c r="C57" i="2"/>
  <c r="K56" i="2"/>
  <c r="J56" i="2"/>
  <c r="I56" i="2"/>
  <c r="H56" i="2"/>
  <c r="F56" i="2"/>
  <c r="E56" i="2"/>
  <c r="D56" i="2"/>
  <c r="C56" i="2"/>
  <c r="K55" i="2"/>
  <c r="J55" i="2"/>
  <c r="I55" i="2"/>
  <c r="H55" i="2"/>
  <c r="F55" i="2"/>
  <c r="E55" i="2"/>
  <c r="D55" i="2"/>
  <c r="C55" i="2"/>
  <c r="K54" i="2"/>
  <c r="J54" i="2"/>
  <c r="I54" i="2"/>
  <c r="H54" i="2"/>
  <c r="F54" i="2"/>
  <c r="E54" i="2"/>
  <c r="D54" i="2"/>
  <c r="C54" i="2"/>
  <c r="K53" i="2"/>
  <c r="J53" i="2"/>
  <c r="I53" i="2"/>
  <c r="H53" i="2"/>
  <c r="F53" i="2"/>
  <c r="E53" i="2"/>
  <c r="D53" i="2"/>
  <c r="C53" i="2"/>
  <c r="K52" i="2"/>
  <c r="J52" i="2"/>
  <c r="I52" i="2"/>
  <c r="H52" i="2"/>
  <c r="F52" i="2"/>
  <c r="E52" i="2"/>
  <c r="D52" i="2"/>
  <c r="C52" i="2"/>
  <c r="K51" i="2"/>
  <c r="J51" i="2"/>
  <c r="I51" i="2"/>
  <c r="H51" i="2"/>
  <c r="F51" i="2"/>
  <c r="E51" i="2"/>
  <c r="D51" i="2"/>
  <c r="C51" i="2"/>
  <c r="K50" i="2"/>
  <c r="J50" i="2"/>
  <c r="I50" i="2"/>
  <c r="H50" i="2"/>
  <c r="F50" i="2"/>
  <c r="E50" i="2"/>
  <c r="D50" i="2"/>
  <c r="C50" i="2"/>
  <c r="K49" i="2"/>
  <c r="J49" i="2"/>
  <c r="I49" i="2"/>
  <c r="H49" i="2"/>
  <c r="F49" i="2"/>
  <c r="E49" i="2"/>
  <c r="D49" i="2"/>
  <c r="C49" i="2"/>
  <c r="K48" i="2"/>
  <c r="J48" i="2"/>
  <c r="I48" i="2"/>
  <c r="H48" i="2"/>
  <c r="F48" i="2"/>
  <c r="E48" i="2"/>
  <c r="D48" i="2"/>
  <c r="C48" i="2"/>
  <c r="K47" i="2"/>
  <c r="J47" i="2"/>
  <c r="I47" i="2"/>
  <c r="H47" i="2"/>
  <c r="F47" i="2"/>
  <c r="E47" i="2"/>
  <c r="D47" i="2"/>
  <c r="C47" i="2"/>
  <c r="K46" i="2"/>
  <c r="J46" i="2"/>
  <c r="I46" i="2"/>
  <c r="H46" i="2"/>
  <c r="F46" i="2"/>
  <c r="E46" i="2"/>
  <c r="D46" i="2"/>
  <c r="C46" i="2"/>
  <c r="K45" i="2"/>
  <c r="J45" i="2"/>
  <c r="I45" i="2"/>
  <c r="H45" i="2"/>
  <c r="F45" i="2"/>
  <c r="E45" i="2"/>
  <c r="D45" i="2"/>
  <c r="C45" i="2"/>
  <c r="K44" i="2"/>
  <c r="J44" i="2"/>
  <c r="I44" i="2"/>
  <c r="H44" i="2"/>
  <c r="F44" i="2"/>
  <c r="E44" i="2"/>
  <c r="D44" i="2"/>
  <c r="C44" i="2"/>
  <c r="K43" i="2"/>
  <c r="J43" i="2"/>
  <c r="I43" i="2"/>
  <c r="H43" i="2"/>
  <c r="F43" i="2"/>
  <c r="E43" i="2"/>
  <c r="D43" i="2"/>
  <c r="C43" i="2"/>
  <c r="K42" i="2"/>
  <c r="J42" i="2"/>
  <c r="I42" i="2"/>
  <c r="H42" i="2"/>
  <c r="F42" i="2"/>
  <c r="E42" i="2"/>
  <c r="D42" i="2"/>
  <c r="C42" i="2"/>
  <c r="K41" i="2"/>
  <c r="J41" i="2"/>
  <c r="I41" i="2"/>
  <c r="H41" i="2"/>
  <c r="F41" i="2"/>
  <c r="E41" i="2"/>
  <c r="D41" i="2"/>
  <c r="C41" i="2"/>
  <c r="K40" i="2"/>
  <c r="J40" i="2"/>
  <c r="I40" i="2"/>
  <c r="H40" i="2"/>
  <c r="F40" i="2"/>
  <c r="E40" i="2"/>
  <c r="D40" i="2"/>
  <c r="C40" i="2"/>
  <c r="K39" i="2"/>
  <c r="J39" i="2"/>
  <c r="I39" i="2"/>
  <c r="H39" i="2"/>
  <c r="F39" i="2"/>
  <c r="E39" i="2"/>
  <c r="D39" i="2"/>
  <c r="C39" i="2"/>
  <c r="K38" i="2"/>
  <c r="J38" i="2"/>
  <c r="I38" i="2"/>
  <c r="H38" i="2"/>
  <c r="F38" i="2"/>
  <c r="E38" i="2"/>
  <c r="D38" i="2"/>
  <c r="C38" i="2"/>
  <c r="K37" i="2"/>
  <c r="J37" i="2"/>
  <c r="I37" i="2"/>
  <c r="H37" i="2"/>
  <c r="F37" i="2"/>
  <c r="E37" i="2"/>
  <c r="D37" i="2"/>
  <c r="C37" i="2"/>
  <c r="K36" i="2"/>
  <c r="J36" i="2"/>
  <c r="I36" i="2"/>
  <c r="H36" i="2"/>
  <c r="F36" i="2"/>
  <c r="E36" i="2"/>
  <c r="D36" i="2"/>
  <c r="C36" i="2"/>
  <c r="K35" i="2"/>
  <c r="J35" i="2"/>
  <c r="I35" i="2"/>
  <c r="H35" i="2"/>
  <c r="F35" i="2"/>
  <c r="E35" i="2"/>
  <c r="D35" i="2"/>
  <c r="C35" i="2"/>
  <c r="K34" i="2"/>
  <c r="J34" i="2"/>
  <c r="I34" i="2"/>
  <c r="H34" i="2"/>
  <c r="F34" i="2"/>
  <c r="E34" i="2"/>
  <c r="D34" i="2"/>
  <c r="C34" i="2"/>
  <c r="K33" i="2"/>
  <c r="J33" i="2"/>
  <c r="I33" i="2"/>
  <c r="H33" i="2"/>
  <c r="F33" i="2"/>
  <c r="E33" i="2"/>
  <c r="D33" i="2"/>
  <c r="C33" i="2"/>
  <c r="K32" i="2"/>
  <c r="J32" i="2"/>
  <c r="I32" i="2"/>
  <c r="H32" i="2"/>
  <c r="F32" i="2"/>
  <c r="E32" i="2"/>
  <c r="D32" i="2"/>
  <c r="C32" i="2"/>
  <c r="K31" i="2"/>
  <c r="J31" i="2"/>
  <c r="I31" i="2"/>
  <c r="H31" i="2"/>
  <c r="F31" i="2"/>
  <c r="E31" i="2"/>
  <c r="D31" i="2"/>
  <c r="C31" i="2"/>
  <c r="K30" i="2"/>
  <c r="J30" i="2"/>
  <c r="I30" i="2"/>
  <c r="H30" i="2"/>
  <c r="F30" i="2"/>
  <c r="E30" i="2"/>
  <c r="D30" i="2"/>
  <c r="C30" i="2"/>
  <c r="K29" i="2"/>
  <c r="J29" i="2"/>
  <c r="I29" i="2"/>
  <c r="H29" i="2"/>
  <c r="F29" i="2"/>
  <c r="E29" i="2"/>
  <c r="D29" i="2"/>
  <c r="C29" i="2"/>
  <c r="K28" i="2"/>
  <c r="J28" i="2"/>
  <c r="I28" i="2"/>
  <c r="H28" i="2"/>
  <c r="F28" i="2"/>
  <c r="E28" i="2"/>
  <c r="D28" i="2"/>
  <c r="C28" i="2"/>
  <c r="K27" i="2"/>
  <c r="J27" i="2"/>
  <c r="I27" i="2"/>
  <c r="H27" i="2"/>
  <c r="F27" i="2"/>
  <c r="E27" i="2"/>
  <c r="D27" i="2"/>
  <c r="C27" i="2"/>
  <c r="K26" i="2"/>
  <c r="J26" i="2"/>
  <c r="I26" i="2"/>
  <c r="H26" i="2"/>
  <c r="F26" i="2"/>
  <c r="E26" i="2"/>
  <c r="D26" i="2"/>
  <c r="C26" i="2"/>
  <c r="K25" i="2"/>
  <c r="J25" i="2"/>
  <c r="I25" i="2"/>
  <c r="H25" i="2"/>
  <c r="F25" i="2"/>
  <c r="E25" i="2"/>
  <c r="D25" i="2"/>
  <c r="C25" i="2"/>
  <c r="K24" i="2"/>
  <c r="J24" i="2"/>
  <c r="I24" i="2"/>
  <c r="H24" i="2"/>
  <c r="F24" i="2"/>
  <c r="E24" i="2"/>
  <c r="D24" i="2"/>
  <c r="C24" i="2"/>
  <c r="K23" i="2"/>
  <c r="J23" i="2"/>
  <c r="I23" i="2"/>
  <c r="H23" i="2"/>
  <c r="F23" i="2"/>
  <c r="E23" i="2"/>
  <c r="D23" i="2"/>
  <c r="C23" i="2"/>
  <c r="K22" i="2"/>
  <c r="J22" i="2"/>
  <c r="I22" i="2"/>
  <c r="H22" i="2"/>
  <c r="F22" i="2"/>
  <c r="E22" i="2"/>
  <c r="D22" i="2"/>
  <c r="C22" i="2"/>
  <c r="K21" i="2"/>
  <c r="J21" i="2"/>
  <c r="I21" i="2"/>
  <c r="H21" i="2"/>
  <c r="F21" i="2"/>
  <c r="E21" i="2"/>
  <c r="D21" i="2"/>
  <c r="C21" i="2"/>
  <c r="K20" i="2"/>
  <c r="J20" i="2"/>
  <c r="I20" i="2"/>
  <c r="H20" i="2"/>
  <c r="F20" i="2"/>
  <c r="E20" i="2"/>
  <c r="D20" i="2"/>
  <c r="C20" i="2"/>
  <c r="K19" i="2"/>
  <c r="J19" i="2"/>
  <c r="I19" i="2"/>
  <c r="H19" i="2"/>
  <c r="F19" i="2"/>
  <c r="E19" i="2"/>
  <c r="D19" i="2"/>
  <c r="C19" i="2"/>
  <c r="K18" i="2"/>
  <c r="J18" i="2"/>
  <c r="I18" i="2"/>
  <c r="H18" i="2"/>
  <c r="F18" i="2"/>
  <c r="E18" i="2"/>
  <c r="D18" i="2"/>
  <c r="C18" i="2"/>
  <c r="K17" i="2"/>
  <c r="J17" i="2"/>
  <c r="I17" i="2"/>
  <c r="H17" i="2"/>
  <c r="F17" i="2"/>
  <c r="E17" i="2"/>
  <c r="D17" i="2"/>
  <c r="C17" i="2"/>
  <c r="K16" i="2"/>
  <c r="J16" i="2"/>
  <c r="I16" i="2"/>
  <c r="H16" i="2"/>
  <c r="F16" i="2"/>
  <c r="E16" i="2"/>
  <c r="D16" i="2"/>
  <c r="C16" i="2"/>
  <c r="K15" i="2"/>
  <c r="J15" i="2"/>
  <c r="I15" i="2"/>
  <c r="H15" i="2"/>
  <c r="F15" i="2"/>
  <c r="E15" i="2"/>
  <c r="D15" i="2"/>
  <c r="C15" i="2"/>
  <c r="K14" i="2"/>
  <c r="J14" i="2"/>
  <c r="I14" i="2"/>
  <c r="H14" i="2"/>
  <c r="F14" i="2"/>
  <c r="E14" i="2"/>
  <c r="D14" i="2"/>
  <c r="C14" i="2"/>
  <c r="K13" i="2"/>
  <c r="J13" i="2"/>
  <c r="I13" i="2"/>
  <c r="H13" i="2"/>
  <c r="F13" i="2"/>
  <c r="E13" i="2"/>
  <c r="D13" i="2"/>
  <c r="C13" i="2"/>
  <c r="K12" i="2"/>
  <c r="J12" i="2"/>
  <c r="I12" i="2"/>
  <c r="H12" i="2"/>
  <c r="F12" i="2"/>
  <c r="E12" i="2"/>
  <c r="D12" i="2"/>
  <c r="C12" i="2"/>
  <c r="K11" i="2"/>
  <c r="J11" i="2"/>
  <c r="I11" i="2"/>
  <c r="H11" i="2"/>
  <c r="F11" i="2"/>
  <c r="E11" i="2"/>
  <c r="D11" i="2"/>
  <c r="C11" i="2"/>
  <c r="K10" i="2"/>
  <c r="J10" i="2"/>
  <c r="I10" i="2"/>
  <c r="H10" i="2"/>
  <c r="F10" i="2"/>
  <c r="E10" i="2"/>
  <c r="D10" i="2"/>
  <c r="C10" i="2"/>
  <c r="K9" i="2"/>
  <c r="J9" i="2"/>
  <c r="I9" i="2"/>
  <c r="H9" i="2"/>
  <c r="F9" i="2"/>
  <c r="E9" i="2"/>
  <c r="D9" i="2"/>
  <c r="C9" i="2"/>
  <c r="K8" i="2"/>
  <c r="J8" i="2"/>
  <c r="I8" i="2"/>
  <c r="H8" i="2"/>
  <c r="F8" i="2"/>
  <c r="E8" i="2"/>
  <c r="D8" i="2"/>
  <c r="C8" i="2"/>
  <c r="K7" i="2"/>
  <c r="J7" i="2"/>
  <c r="I7" i="2"/>
  <c r="H7" i="2"/>
  <c r="F7" i="2"/>
  <c r="E7" i="2"/>
  <c r="D7" i="2"/>
  <c r="C7" i="2"/>
  <c r="K6" i="2"/>
  <c r="J6" i="2"/>
  <c r="I6" i="2"/>
  <c r="H6" i="2"/>
  <c r="F6" i="2"/>
  <c r="E6" i="2"/>
  <c r="D6" i="2"/>
  <c r="C6" i="2"/>
  <c r="K5" i="2"/>
  <c r="J5" i="2"/>
  <c r="I5" i="2"/>
  <c r="H5" i="2"/>
  <c r="F5" i="2"/>
  <c r="E5" i="2"/>
  <c r="D5" i="2"/>
  <c r="C5" i="2"/>
  <c r="G8" i="2" l="1"/>
  <c r="G95" i="2"/>
  <c r="G100" i="2"/>
  <c r="G99" i="2"/>
  <c r="G97" i="2"/>
  <c r="G98" i="2"/>
  <c r="G96" i="2"/>
  <c r="G93" i="2"/>
  <c r="L94" i="2"/>
  <c r="G94" i="2"/>
  <c r="G6" i="2"/>
  <c r="L8" i="2"/>
  <c r="G11" i="2"/>
  <c r="G16" i="2"/>
  <c r="L18" i="2"/>
  <c r="G21" i="2"/>
  <c r="G26" i="2"/>
  <c r="L28" i="2"/>
  <c r="G31" i="2"/>
  <c r="G36" i="2"/>
  <c r="L38" i="2"/>
  <c r="G41" i="2"/>
  <c r="G46" i="2"/>
  <c r="L48" i="2"/>
  <c r="G51" i="2"/>
  <c r="G56" i="2"/>
  <c r="L58" i="2"/>
  <c r="L93" i="2"/>
  <c r="G61" i="2"/>
  <c r="G66" i="2"/>
  <c r="L68" i="2"/>
  <c r="G71" i="2"/>
  <c r="G76" i="2"/>
  <c r="G81" i="2"/>
  <c r="G86" i="2"/>
  <c r="L88" i="2"/>
  <c r="G91" i="2"/>
  <c r="L10" i="2"/>
  <c r="G13" i="2"/>
  <c r="G18" i="2"/>
  <c r="L20" i="2"/>
  <c r="G23" i="2"/>
  <c r="G28" i="2"/>
  <c r="G33" i="2"/>
  <c r="G38" i="2"/>
  <c r="L40" i="2"/>
  <c r="G43" i="2"/>
  <c r="G48" i="2"/>
  <c r="L50" i="2"/>
  <c r="G53" i="2"/>
  <c r="G58" i="2"/>
  <c r="L60" i="2"/>
  <c r="G63" i="2"/>
  <c r="L70" i="2"/>
  <c r="G73" i="2"/>
  <c r="G78" i="2"/>
  <c r="G83" i="2"/>
  <c r="G88" i="2"/>
  <c r="L90" i="2"/>
  <c r="G9" i="2"/>
  <c r="G14" i="2"/>
  <c r="G19" i="2"/>
  <c r="G5" i="2"/>
  <c r="G10" i="2"/>
  <c r="G15" i="2"/>
  <c r="G20" i="2"/>
  <c r="G25" i="2"/>
  <c r="G30" i="2"/>
  <c r="G35" i="2"/>
  <c r="G40" i="2"/>
  <c r="G45" i="2"/>
  <c r="G50" i="2"/>
  <c r="G55" i="2"/>
  <c r="G60" i="2"/>
  <c r="G65" i="2"/>
  <c r="G70" i="2"/>
  <c r="G75" i="2"/>
  <c r="G80" i="2"/>
  <c r="G85" i="2"/>
  <c r="G90" i="2"/>
  <c r="L92" i="2"/>
  <c r="L78" i="2"/>
  <c r="L30" i="2"/>
  <c r="L12" i="2"/>
  <c r="L22" i="2"/>
  <c r="L32" i="2"/>
  <c r="L42" i="2"/>
  <c r="L52" i="2"/>
  <c r="L62" i="2"/>
  <c r="L72" i="2"/>
  <c r="L82" i="2"/>
  <c r="L6" i="2"/>
  <c r="L16" i="2"/>
  <c r="L71" i="2"/>
  <c r="L81" i="2"/>
  <c r="L91" i="2"/>
  <c r="G68" i="2"/>
  <c r="L41" i="2"/>
  <c r="L31" i="2"/>
  <c r="L51" i="2"/>
  <c r="L61" i="2"/>
  <c r="L37" i="2"/>
  <c r="L47" i="2"/>
  <c r="L57" i="2"/>
  <c r="L67" i="2"/>
  <c r="L77" i="2"/>
  <c r="L87" i="2"/>
  <c r="L45" i="2"/>
  <c r="L55" i="2"/>
  <c r="L65" i="2"/>
  <c r="L75" i="2"/>
  <c r="L85" i="2"/>
  <c r="L35" i="2"/>
  <c r="L63" i="2"/>
  <c r="L73" i="2"/>
  <c r="L83" i="2"/>
  <c r="L80" i="2"/>
  <c r="G24" i="2"/>
  <c r="L26" i="2"/>
  <c r="G29" i="2"/>
  <c r="G34" i="2"/>
  <c r="L36" i="2"/>
  <c r="G39" i="2"/>
  <c r="G44" i="2"/>
  <c r="L46" i="2"/>
  <c r="G49" i="2"/>
  <c r="G54" i="2"/>
  <c r="L56" i="2"/>
  <c r="G59" i="2"/>
  <c r="G64" i="2"/>
  <c r="L66" i="2"/>
  <c r="G69" i="2"/>
  <c r="G74" i="2"/>
  <c r="L76" i="2"/>
  <c r="G79" i="2"/>
  <c r="G84" i="2"/>
  <c r="L86" i="2"/>
  <c r="G89" i="2"/>
  <c r="L15" i="2"/>
  <c r="L21" i="2"/>
  <c r="L7" i="2"/>
  <c r="L5" i="2"/>
  <c r="L25" i="2"/>
  <c r="L13" i="2"/>
  <c r="L33" i="2"/>
  <c r="L53" i="2"/>
  <c r="L23" i="2"/>
  <c r="L43" i="2"/>
  <c r="G7" i="2"/>
  <c r="L14" i="2"/>
  <c r="G17" i="2"/>
  <c r="G22" i="2"/>
  <c r="L24" i="2"/>
  <c r="G27" i="2"/>
  <c r="G32" i="2"/>
  <c r="L34" i="2"/>
  <c r="G37" i="2"/>
  <c r="G42" i="2"/>
  <c r="L44" i="2"/>
  <c r="G47" i="2"/>
  <c r="G52" i="2"/>
  <c r="L54" i="2"/>
  <c r="G57" i="2"/>
  <c r="G62" i="2"/>
  <c r="L64" i="2"/>
  <c r="G67" i="2"/>
  <c r="G72" i="2"/>
  <c r="L74" i="2"/>
  <c r="G77" i="2"/>
  <c r="G82" i="2"/>
  <c r="L84" i="2"/>
  <c r="G87" i="2"/>
  <c r="G92" i="2"/>
  <c r="L27" i="2"/>
  <c r="G12" i="2"/>
  <c r="L9" i="2"/>
  <c r="L19" i="2"/>
  <c r="L29" i="2"/>
  <c r="L39" i="2"/>
  <c r="L49" i="2"/>
  <c r="L59" i="2"/>
  <c r="L69" i="2"/>
  <c r="L79" i="2"/>
  <c r="L89" i="2"/>
  <c r="L17" i="2"/>
  <c r="L11" i="2"/>
  <c r="G101" i="2" l="1"/>
</calcChain>
</file>

<file path=xl/sharedStrings.xml><?xml version="1.0" encoding="utf-8"?>
<sst xmlns="http://schemas.openxmlformats.org/spreadsheetml/2006/main" count="1050" uniqueCount="395">
  <si>
    <t>Bil</t>
  </si>
  <si>
    <t>Penolong Pengerusi</t>
  </si>
  <si>
    <t>panel 1</t>
  </si>
  <si>
    <t>panel 2</t>
  </si>
  <si>
    <t xml:space="preserve">Dr. Shah Iskandar Fahmie bin Ramlee </t>
  </si>
  <si>
    <t>Dr. Nur Syakirah binti Ahmad</t>
  </si>
  <si>
    <t>Prof. Dr. Raja Suzana binti Raja Kasim</t>
  </si>
  <si>
    <t>Dr. Norzalizah binti Bahari</t>
  </si>
  <si>
    <t>re-PROPOSAL DEFENSE</t>
  </si>
  <si>
    <t>A21E0127P</t>
  </si>
  <si>
    <t>Kesan Kompetensi Keusahawanan Terhadap Prestasi Koperasi Sekolah Melalui Tingkah Laku Kepimpinan Transformasi Anggota Lembaga Koperasi Sekolah di Malaysia</t>
  </si>
  <si>
    <t>Dr. Syarizal bin Abdul Rahim</t>
  </si>
  <si>
    <t xml:space="preserve">Dr. Siti Som binti Husin </t>
  </si>
  <si>
    <t>Prof. Madya Dr. Dzulkifli bin Mukhtar</t>
  </si>
  <si>
    <t>Prof. Madya Dr. Mohd Nazri bin Zakaria</t>
  </si>
  <si>
    <t>A20E0214F</t>
  </si>
  <si>
    <t>The Effectiveness of Performance Management Module (PMM) on Nurse Performance with Moderating Effect of Willingness to Use HMIS Among Nurses in Hunan Public Hospitals</t>
  </si>
  <si>
    <t>Prof. Madya. Dr. Mohd Zulkifli bin Muhammad</t>
  </si>
  <si>
    <t>Dr. Siti Salwani binti Abdullah</t>
  </si>
  <si>
    <t>Dr. Siti Fariha binti Muhamad</t>
  </si>
  <si>
    <t>Dr. Muhammad Jaffri bin Mohd Nasir</t>
  </si>
  <si>
    <t>PROPOSAL DEFENSE</t>
  </si>
  <si>
    <t>A23D053F</t>
  </si>
  <si>
    <t>Asseccing A Comprehensive Cost Analysis on Meliodosis in Northern Malaysia</t>
  </si>
  <si>
    <t>Dr. Norhafifah binti Samsudin</t>
  </si>
  <si>
    <t>Prof. Madya Dr. Wan Farha binti Wan Zulkiffli</t>
  </si>
  <si>
    <t>Dr. Mohd Ikhwan bin Aziz</t>
  </si>
  <si>
    <t>A20E054F</t>
  </si>
  <si>
    <t>Exploring the Enduring Influence of Perceived of External Control and Computer Playfulness towards Behavioral Intention on User Adoption of Banking Mobile Applications in Hangzhou City Commercial Bank: The Mediating effect of Perceived Ease of Use</t>
  </si>
  <si>
    <t>Dr. Siti Rohana binti Mohamad</t>
  </si>
  <si>
    <t>Dr. Zaminor binti Zamzamir @ Zamzamin</t>
  </si>
  <si>
    <t xml:space="preserve">Dr. Ahmad Ridhuwan bin Abdullah </t>
  </si>
  <si>
    <t>A21E013F</t>
  </si>
  <si>
    <t>The Impact of Digital Inclusive Finance on Financing Constraints of Small and Medium Sized Enterprises in China.</t>
  </si>
  <si>
    <t>Dr. Nur Fadiah binti Mohd Zawawi</t>
  </si>
  <si>
    <t>Prof. Dr. Mohd Nor Hakimin bin Yusoff</t>
  </si>
  <si>
    <t>Prof. Dr. Mohd Rafi bin Yaacob</t>
  </si>
  <si>
    <t>A19E0039F</t>
  </si>
  <si>
    <t>Determinants of Job Performance Among Financial Employees in Indonesia Private Hospital : The Role of Intrapreneurship as Mediator and Psychological Ownership as Moderator</t>
  </si>
  <si>
    <t>Prof. Dr. Balakrishnan a/l Parasuraman</t>
  </si>
  <si>
    <t>A19E0023F</t>
  </si>
  <si>
    <t>Pengaruh Kepimpinan Transformasi dan Komitmen Organisasi Terhadap Prestasi Kerja Pensyarah Universiti Muhammadiyah di Indonesia : Kesan Pengantara Kepuasan Kerja dan Penyederhanaan Kepimpinan Rohani</t>
  </si>
  <si>
    <t xml:space="preserve">Dr. Nur Syafiqah binti A. Samad </t>
  </si>
  <si>
    <t xml:space="preserve">Pn. Nik Noorhazila binti Nik Mud </t>
  </si>
  <si>
    <t>Dr. Nor Asma binti Ahmad</t>
  </si>
  <si>
    <t>PRA PEPERIKSAAN LISAN (PRE VIVA)</t>
  </si>
  <si>
    <t>A18E025F</t>
  </si>
  <si>
    <t>The Nexus of Financial Development, Employment, and Economic Growth in Developing Countries: The Role of Minimum Wage</t>
  </si>
  <si>
    <t xml:space="preserve">Dr. Azira Hanani binti Berahim @ Ab Rahman </t>
  </si>
  <si>
    <t>Pn. Nik Madeeha binti Nik Mohd Munir</t>
  </si>
  <si>
    <t>A20E0110F</t>
  </si>
  <si>
    <t xml:space="preserve">Evaluation of Macroeconomic Models for Financial Stability Analysis: A Case Study of Financial Market in China </t>
  </si>
  <si>
    <t>Pn. Aimi Nadia binti Ibrahim @ Zakaria</t>
  </si>
  <si>
    <t>Prof. Madya Dr. Muhamad Saufi bin Che Rusuli</t>
  </si>
  <si>
    <t>Prof. Madya Dr. Noorshella binti Che Nawi</t>
  </si>
  <si>
    <t>A20E002F</t>
  </si>
  <si>
    <t>The Relationship Between The Big Data Analysis Capability, External Knowledge Search and Omni-Channel Marketing on Firm Performance in China</t>
  </si>
  <si>
    <t>Dr. Syamsuriana binti Sidek</t>
  </si>
  <si>
    <t>Prof. Madya Ts. Dr. Zuraimi bin Abdul Aziz</t>
  </si>
  <si>
    <t>PRA PEPERIKSAAN LISAN (re-PRE VIVA)</t>
  </si>
  <si>
    <t>C14E008P</t>
  </si>
  <si>
    <t>Innovation Competency and Innovation Capability on SME’s Innovation Performance in Malaysia Health Tourism Industry: Moderating Effects of Digital Technology Diffusion</t>
  </si>
  <si>
    <t>Dr. Nor Hafiza binti Othman</t>
  </si>
  <si>
    <t>A20E0179F</t>
  </si>
  <si>
    <t>Social Entrepreneurial Orientation on Sustainability Performance Among social Business Organizations in Indonesia</t>
  </si>
  <si>
    <t>Prof. Madya Dr. Noorul Azwin binti Md Nasir</t>
  </si>
  <si>
    <t>Dr. Tahirah binti Abdullah</t>
  </si>
  <si>
    <t>Dr. Mohd Rushdan bin Yasoa’</t>
  </si>
  <si>
    <t>PENILAIAN CADANGAN PENYELIDIKAN (PROPOSAL DEFENSE)</t>
  </si>
  <si>
    <t>A22D106F</t>
  </si>
  <si>
    <t>Green Accounting by SME in China: An Application of Theory of Planned and Behaviour</t>
  </si>
  <si>
    <t>Dr. Kasmaruddin bin Che Hussin</t>
  </si>
  <si>
    <t>En. Mohamed Ariff bin Abdul Rahman</t>
  </si>
  <si>
    <t>A21E054F</t>
  </si>
  <si>
    <t>Study on the Effect of Preferential Tax Policies on Science and Technology Capital</t>
  </si>
  <si>
    <t xml:space="preserve">Dr. Suhaila binti Abdul Kadir </t>
  </si>
  <si>
    <t>A14E010F</t>
  </si>
  <si>
    <t>Fenomena Pengalaman Peniaga Golongan B40 dalam Persekitaran Mencabar-Pendemik Covid-19: Pendekatan Abduktif Logik</t>
  </si>
  <si>
    <t>Dr. Amira binti Jamil</t>
  </si>
  <si>
    <t>En. Zul Karami bin Che Musa</t>
  </si>
  <si>
    <t>A19E039F</t>
  </si>
  <si>
    <t>Factor That Influences the Accounting Practice Among SMEs: A Study on Southern Thai SMEs</t>
  </si>
  <si>
    <t>Pra Peperiksaan Lisan (Pre Viva Voce)</t>
  </si>
  <si>
    <t>A22E011F</t>
  </si>
  <si>
    <t>The Effect of Principal-Agent Attributes and Firm Size on Budgetary Slack: Evidence from Manufacturing Listed Firms in China</t>
  </si>
  <si>
    <t>Dr. Nik Syuhailah binti Nik Hussin</t>
  </si>
  <si>
    <t>A19E0029F</t>
  </si>
  <si>
    <t>Brand Experience and Customer Relationship Marketing Towards Customer Based Brand Equity: Mediator Role of Word of Mouth in Budget Hotels</t>
  </si>
  <si>
    <t>Dr. Rikinorhakis bin Ridzwan</t>
  </si>
  <si>
    <t>Dr. Norfazlirda binti Hairani</t>
  </si>
  <si>
    <t>A21D053F</t>
  </si>
  <si>
    <t>Service Quality, Customer Satisfaction and Continuous Intention For Training Provider in East Coast Region</t>
  </si>
  <si>
    <t>Dr. Muhammad Firdaus bin Zakaria</t>
  </si>
  <si>
    <t>Prof. Madya Dr. Hazriah binti Hasan</t>
  </si>
  <si>
    <t>Dr. Mohd Afifie bin Mohd Alwi</t>
  </si>
  <si>
    <t>A19E0041F</t>
  </si>
  <si>
    <t>Indonesian Sharia Banking Transformation Model In The Digital Era</t>
  </si>
  <si>
    <t>Prof. Madya Dr. Azwan bin Abdullah</t>
  </si>
  <si>
    <t>A22E048F</t>
  </si>
  <si>
    <t>Leadership Style in Performance of Waqf at University Putra Malaysia (UPM) and Fatoni University (FU), Thailand : Exploratory Qualitative Case Study</t>
  </si>
  <si>
    <t>Dr. Hasannuddiin bin Hassan</t>
  </si>
  <si>
    <t>PRA PEPERIKSAAN LISAN (PRE VIVA VOCE)</t>
  </si>
  <si>
    <t>A20E0238F</t>
  </si>
  <si>
    <t>Green Human Resource Management, Green Innovation, and Environmental Performance of Hotel in Kano Nigeria: Moderating Role of Green Transformational Leadership</t>
  </si>
  <si>
    <t>En. Ahmad Syakir bin Junoh @ Ismail</t>
  </si>
  <si>
    <t>A20E074F</t>
  </si>
  <si>
    <t>Minat Mahasiswa Dalam Bidang Pendidikan Keusahawanan Di Universiti PGRI Sumatera Barat</t>
  </si>
  <si>
    <t>A19E0019F</t>
  </si>
  <si>
    <t>Institutional Isomorphism, Accountability and Local Government Performance in Riau Public Governance: Autonomy and Management Commitment as Moderating Variable</t>
  </si>
  <si>
    <t>Dr. Muhammad Zulfaris bin Mohd Salleh</t>
  </si>
  <si>
    <t xml:space="preserve">Dr. Noor Raihani binti Zainol </t>
  </si>
  <si>
    <t>PENILAIAN SEMULA CADANGAN PENYELIDIKAN (re-PROPOSAL DEFENSE)</t>
  </si>
  <si>
    <t>A19E040F</t>
  </si>
  <si>
    <t>The Influence of Investing knowledge and behavioral factors towards the performance of individual investors in the trading shares of companies listed at The Stock Exchange, Thailand using investment decision making as a mediator</t>
  </si>
  <si>
    <t>Dr. Hanieh Alipour Bazkiaei</t>
  </si>
  <si>
    <t>Dr. Noor Ullah Khan</t>
  </si>
  <si>
    <t>Prof. Madya Dr. Ng Siew Foen</t>
  </si>
  <si>
    <t>A20D077P</t>
  </si>
  <si>
    <t>English as a Second Language (ESL) Teachers Preparedness Towards Students Achievements</t>
  </si>
  <si>
    <t>Pn. Nurul Hasliana binti Hamsani</t>
  </si>
  <si>
    <t>A21E049F</t>
  </si>
  <si>
    <t>The Impact of eWOM Characteristics on Intention to Travel to Destination Among Generation Z in China: Mediating by Attitude Towards Information Adoption</t>
  </si>
  <si>
    <t>Prof. Madya Dr. Anis Amira binti Ab Rahman</t>
  </si>
  <si>
    <t>A22E115F</t>
  </si>
  <si>
    <t>An Investigation of Innovation-Driven Enterprises Growth Strategies in the Newly Emerging Economy of Sub-Saharan Africa: A Nigerian Case Study</t>
  </si>
  <si>
    <t>Dr. Tan Wai Hong</t>
  </si>
  <si>
    <t>A21E016F</t>
  </si>
  <si>
    <t>The Effects of Empathy and the Moderating Role of Regulatory Focus on Donors Decision to Support Philanthropic Crowdfunding in China</t>
  </si>
  <si>
    <t xml:space="preserve">  </t>
  </si>
  <si>
    <t>A19E026F</t>
  </si>
  <si>
    <t>A Study on Interpersonal Skills Among Selected Cases of Successful Malay Entrepreneurs Wholesale SMGs in Terengganu.</t>
  </si>
  <si>
    <t>Dr. Siti Zamanira binti Mat Zaib</t>
  </si>
  <si>
    <t>Pn. Azizah binti Musa</t>
  </si>
  <si>
    <t>Dr. Aikal Liyani binti Mohd Rasdi</t>
  </si>
  <si>
    <t>A19E0045F</t>
  </si>
  <si>
    <t>Examining the Readiness of SMEs in Implementing Halal Tourism in Indonesia: A Study using the Components Theory of Planned Behavior and Halal Tourism Literacy as Moderator</t>
  </si>
  <si>
    <t>En. Syed Azlan Aljaffree bin Syed Khadzil</t>
  </si>
  <si>
    <t>A20E0201F</t>
  </si>
  <si>
    <t>Moderating Effects of USD Cycle and RMB Exchange Rate on Capital Market Linkage in China</t>
  </si>
  <si>
    <t>A22E105F</t>
  </si>
  <si>
    <t>The Macro and Micro Organizational Elements and BUMDesa Performance in Indonesia: A Multiple Case Studies Approach</t>
  </si>
  <si>
    <t xml:space="preserve">Puan Nadia Hanum binti Amiruddin </t>
  </si>
  <si>
    <t>A22D123F</t>
  </si>
  <si>
    <t>A Study on the Customer Purchase Intention Toward Colorkey Cosmetic Products In China</t>
  </si>
  <si>
    <t>Prof. Madya Dr. Muhammad Ashlyzan bin Razik</t>
  </si>
  <si>
    <t>A19E0011F</t>
  </si>
  <si>
    <t>Internal Audit Behavioral, Job Performance, and Audit Quality of Local Government In Riau Province</t>
  </si>
  <si>
    <t>A14E019F</t>
  </si>
  <si>
    <t>Organization Capital, Human Capital, Members Participation, Government Support and Co-operative Performance: Moderating Effect of Leadership</t>
  </si>
  <si>
    <t>A19E056F</t>
  </si>
  <si>
    <t>The Development of Entrepreneurial Passion in the Identity Workspace of the Postgraduate Entrepreneurship Education Program</t>
  </si>
  <si>
    <t>Linda Hetri Suriyanti</t>
  </si>
  <si>
    <t>A20E0183F</t>
  </si>
  <si>
    <t>The Mediating Effects of Innovation and a Dynamic Environment on the Link Between Strategic Management Accounting Techniques and Performance in Riau Manufacturing Companies</t>
  </si>
  <si>
    <t>Akan ditentukan oleh penyelia</t>
  </si>
  <si>
    <t xml:space="preserve">Dr. Wan Mohd Nazdrol bin Wan Mohd Nasir </t>
  </si>
  <si>
    <t>A21E038F</t>
  </si>
  <si>
    <t xml:space="preserve">The Relationship Between Brand Image, Brand Attachment, Brand Hate and Brand Relationship Quality in Xiaomi Virtual Communities </t>
  </si>
  <si>
    <t>A22E146F</t>
  </si>
  <si>
    <t>Pricing Strategy Of Riau Private Polytechnic Higher Education: A Cost And Value-Based Perspective</t>
  </si>
  <si>
    <t>A22E150F</t>
  </si>
  <si>
    <t>Corporate Governance as a Moderating Variable Between Earning Management and Company Value</t>
  </si>
  <si>
    <t xml:space="preserve">Prof. Madya Dr. Noor Hasmini binti Abd Ghani </t>
  </si>
  <si>
    <t>A21E055F</t>
  </si>
  <si>
    <t>Factors Influencing Consumers’ Coffee Purchase Intention in China: The Mediating Effect of Satisfaction</t>
  </si>
  <si>
    <t>Dr. Mohamad Hazeem bin Mohmad Sidik</t>
  </si>
  <si>
    <t>A21E030P</t>
  </si>
  <si>
    <t>The Internal and Externel Factors of Franchisee Survivability: The Mediating Role of Market Orientation</t>
  </si>
  <si>
    <t>Dr. Lu Man Hong</t>
  </si>
  <si>
    <t>A23D043F</t>
  </si>
  <si>
    <t xml:space="preserve">Entrepreneurial Capabilities Abortive Capacity and Support Intervention Towards Cyberpreneurship Improvement of MICRO Entrepreneurs in Kelantan </t>
  </si>
  <si>
    <t>Dr. Hazrina binti Hasbolah</t>
  </si>
  <si>
    <t>Prof. Madya. Ts. Dr. Zailani bin Abdullah</t>
  </si>
  <si>
    <t>A19E0009F</t>
  </si>
  <si>
    <t>The Factors Influencing E-Learning Adoption Behaviour in Indonesia</t>
  </si>
  <si>
    <t>A22E120F</t>
  </si>
  <si>
    <t>Factor Influences the Business Financing of Small and Medium Manufacturing Industry In Indonesia</t>
  </si>
  <si>
    <t>A22E006F</t>
  </si>
  <si>
    <t>Linkage Between Entrepreneurship Education Towards Entrepreneurial Intention Among College Students in China</t>
  </si>
  <si>
    <t>Dr. Nurul Muna binti Mohamad</t>
  </si>
  <si>
    <t>A20E045F</t>
  </si>
  <si>
    <t xml:space="preserve">The effect of talent management on sales team management performance in Chinese small and medium-sized FMCG firms: the mediating role of leadership style </t>
  </si>
  <si>
    <t>A19E0034F</t>
  </si>
  <si>
    <t>Organization Palm Oil Mills Sustainable Competitive Advantage Through Big Data Analytics Capability In Riau Province</t>
  </si>
  <si>
    <t>A19E043F</t>
  </si>
  <si>
    <t>The Impact of Quality Financial Accounting Information on Decision-making and Business Performance among SMEs.</t>
  </si>
  <si>
    <t>Dr. Nur Izzati binti Mohamad Anuar</t>
  </si>
  <si>
    <t>A23D059F</t>
  </si>
  <si>
    <t>A Study of Different Cultural background and Societal Norm Influence Entrepreneurial Behavior and Success Rates in Kelantan</t>
  </si>
  <si>
    <t>A16E081P</t>
  </si>
  <si>
    <t>Determinants Factors of Entrepreneurial Intention and Entrepreneurial Behavior Towards Student Entrepreneurs in Malaysia Higher Education Institutions</t>
  </si>
  <si>
    <t>Dr. Nur Ain Ayuni binti Sabri</t>
  </si>
  <si>
    <t>A20D070F</t>
  </si>
  <si>
    <t>Kebolehpasaran Graduan IPTA Dalam Sektor Koperasi di Negeri Sabah</t>
  </si>
  <si>
    <t>En. Muhammad Naqib bin Mat Yunoh</t>
  </si>
  <si>
    <t>A22D051F</t>
  </si>
  <si>
    <t>An In-Depth Exploration of Innovative Food Waste Management Practices at Pasar Siti Khadijah</t>
  </si>
  <si>
    <t>A21E062P</t>
  </si>
  <si>
    <t>Corak Pemikiran Kepimpinan TYT Tun Setia (Dr) Haji Mohd Ali bin Rustam, Yang Di-Pertua Negri Melaka</t>
  </si>
  <si>
    <t>A17E064P</t>
  </si>
  <si>
    <t>E-CRM, Social Mesdia Marketing and E-Brand Equity in Hotel Industry Context: The Mediating Effect of E-Brand Experience</t>
  </si>
  <si>
    <t>A21D031F</t>
  </si>
  <si>
    <t>Literasi Kewangan Berdasarkan Konsep Maqasid Syariah: B40 di Kelantan</t>
  </si>
  <si>
    <t>A22E014F</t>
  </si>
  <si>
    <t>Examining Leadership Styles Among the Multi-level Marketing (MLM) Leaders in Malaysia</t>
  </si>
  <si>
    <t>Prof. Madya Dr. Mohd Nazri bin Muhayiddin</t>
  </si>
  <si>
    <t>Prof. Madya Dr. Roslizawati binti Che Aziz</t>
  </si>
  <si>
    <t>A23E082F</t>
  </si>
  <si>
    <t>Model Strategi Pembangunan Pelancongan Halal Mampan Melalui Pelancongan berasaskan Komuniti: Kajian di Kabupaten Pati, Jawa Tengah, Indonesia.</t>
  </si>
  <si>
    <t>Dr. Nur Farahiah binti Azmi</t>
  </si>
  <si>
    <t>A22E163F</t>
  </si>
  <si>
    <t>The Impact of Digital Financial Inclusion and Technological Innovation in the Financial Performance of SMEs: The Mediating Effect of Financing Constraints and Financing Structure</t>
  </si>
  <si>
    <t>A24E3680F</t>
  </si>
  <si>
    <t>The Role of Sustainability Performance and External Sustainable Corporate Governance in Mitigating Earning Management</t>
  </si>
  <si>
    <t>Dr. Mohamad Zamhari bin Tahir</t>
  </si>
  <si>
    <t>A23E061F</t>
  </si>
  <si>
    <t>The Adoption of Sustainability Practice Among Restaurant Entrepreneurs in Bandung  Using Entrepreneurial Orientation and Digital Financial  Inclusion as Moderator</t>
  </si>
  <si>
    <t>Prof. Madya Dr. Mohd Asrul Hery bin Ibrahim</t>
  </si>
  <si>
    <t>A23E2784F</t>
  </si>
  <si>
    <t>Fostering the Entrepreneurs Capability in Sustaining The Halal Business Performance Focusing on Bumiputera MSMEe in East Coast of Malaysia.</t>
  </si>
  <si>
    <t>Dr. Nurul Fadzlyn binti Enche Nadzmy</t>
  </si>
  <si>
    <t>A23E094F</t>
  </si>
  <si>
    <t>The Impact of Innovation and Collaboration on The Sustainable Performance of Small and Medium Enterprises in Indonesia: The Mediating Role of The Knowledge Management</t>
  </si>
  <si>
    <t>A21E006F</t>
  </si>
  <si>
    <t>Consumers Impulse Buying on Jewelry Products Through Live Streaming Commerce in China: A Mediating Role of Perceived Enjoyment</t>
  </si>
  <si>
    <t xml:space="preserve">Dr Nurnaddia binti Nordin </t>
  </si>
  <si>
    <t xml:space="preserve">Dr. Nurhaiza binti Nordin </t>
  </si>
  <si>
    <t>A23E064F</t>
  </si>
  <si>
    <t>The Impact of ESG Practice, Government Subsidy, Managerial Ownership on Corporate Performance: Moderating with Economic Policy Uncertainty</t>
  </si>
  <si>
    <t>Dr. Siti Amirah binti Ahmad Tarmizi</t>
  </si>
  <si>
    <t>A20E0139F</t>
  </si>
  <si>
    <t>Teachers’ Influence Mediate the Impact of Achievement Growth Performance among Local University Undergraduate Students in Jiangxi China</t>
  </si>
  <si>
    <t>A20E0166F</t>
  </si>
  <si>
    <t>Ar-Rahn sebagai Sumber Dana Altarnatif Perusahaan Kecil dan Sederhana (PKS) berpandukan Aplikasi Maqasid Syariah</t>
  </si>
  <si>
    <t>A18E030F</t>
  </si>
  <si>
    <t>Implementation of Entrepreneural Apprenticeship-Based Learning Practice in Malaysian Higher Education Institutions</t>
  </si>
  <si>
    <t>Dr. Noormariana binti Mohd Din</t>
  </si>
  <si>
    <t>A19E0027F</t>
  </si>
  <si>
    <t>The Effect of Organizational Citizenship Behaviour and Islamic Work Ethics on Relationships Between Islamic Leadership and Lecturers' Performance of Islamic Universities in Riau Province, Indonesia</t>
  </si>
  <si>
    <t>A16E069P</t>
  </si>
  <si>
    <t>Determinants of Digital Workplace Tools Adoption using Unified Theory of Acceptance and the Use of Technology Among Medium Enterprise Employees</t>
  </si>
  <si>
    <t>The Influence of PEC and CP towards Customer Intention ti Use Mobile Banking Applications in Hangzhou City Commercial Bank: The Mediating Effect of PEOU</t>
  </si>
  <si>
    <t>A22D130F</t>
  </si>
  <si>
    <t>The Mediating Role of Integrated Reporting: Analyzing Firm Characteristics and Performance in Malaysian Public Firms</t>
  </si>
  <si>
    <t>A19E042F</t>
  </si>
  <si>
    <t>Factors Influence Toward Competitive Advantage of Logistic Service Providers in Saouthern of Thailand</t>
  </si>
  <si>
    <t>A23E0778F</t>
  </si>
  <si>
    <t>Faktor Mempengaruhi Kejayaan Usahawan Muda Dalam Perniagaan Berasaskan Kerajaan Di Malaysia</t>
  </si>
  <si>
    <t>Dr. Abdul Aziz bin Yaacob</t>
  </si>
  <si>
    <t>A23E011F</t>
  </si>
  <si>
    <t>An Examination of Employee Participation in Guangzhou in China</t>
  </si>
  <si>
    <t>Dr. Fatihah binti Mohd</t>
  </si>
  <si>
    <t>Dr. Yukhtamarani a/p Permarupan</t>
  </si>
  <si>
    <t>A20E0141F</t>
  </si>
  <si>
    <t>The Moderating Role of Transactional Leadership Style in The Relationship between Objective and Subjective Factors and Subjective Career Success Among Academic Employee in Private Universities of Guangdong, China</t>
  </si>
  <si>
    <t>A21D071F</t>
  </si>
  <si>
    <t>The Impact of School-Enterprise Co-operation on Graduates Employability in China’s Universities.</t>
  </si>
  <si>
    <t>Decomposing Overconfidence: A Multidimensional Investigation Into the Effects of Behavioral Biases on Investment Decisions of Young Investors.</t>
  </si>
  <si>
    <t>A22E132F</t>
  </si>
  <si>
    <t>An Empirical Study on Factors Influencing Supply Chain Performance in The Malaysian Palm Oil Industry</t>
  </si>
  <si>
    <t>A23E043F</t>
  </si>
  <si>
    <t>The Impact of Big Data Analytics Capability on Cyberpreneurship Empowerment of Micro-Entrepreneurs in Kelantan, Malaysia</t>
  </si>
  <si>
    <t>A17E021P</t>
  </si>
  <si>
    <t>Exploring the Dynamics of Digital Banking Adoption in Malaysia: The Role of User Perceptions</t>
  </si>
  <si>
    <t>A21D011F</t>
  </si>
  <si>
    <t>The Relationship Between System Quality and Information Quality on Nigerians e-Commerce Users Satisfaction and Intention to Revisit.</t>
  </si>
  <si>
    <t xml:space="preserve">Prof. Dr. Mohammad bin Ismail </t>
  </si>
  <si>
    <t>The Impact of eWOM Characteristics on Travel Intention Among Generation Z in China: Mediating by Attitude Towards Information Adoption</t>
  </si>
  <si>
    <t>A20D0211F</t>
  </si>
  <si>
    <t>Corporate Ethics Commitment to Enhance Financial Reporting Quality for Public Listed Companies in Malaysia</t>
  </si>
  <si>
    <t>Dr. Razman Hafifi bin Redzuan</t>
  </si>
  <si>
    <t>A Study Of Consumption Intention Of The Coffee Shop In Guangzhou Area: Mediating Effects From Satisfaction</t>
  </si>
  <si>
    <t xml:space="preserve">Prof. Dr. Naresh Kumar a/l Samy </t>
  </si>
  <si>
    <t>A23E025F</t>
  </si>
  <si>
    <t>Relationships Between Leadership Strategies, Regulatory Focus and Entrepreneurial Behavior among Academics in Malaysian Public Higher Education Institutions</t>
  </si>
  <si>
    <t>A23E079F</t>
  </si>
  <si>
    <t>The Influence Of Corporate Financial Factors On Tax Aggressiveness Moderated By Corporate Governance In Indonesia</t>
  </si>
  <si>
    <t>Dr. Syamsuriana Binti Sidek</t>
  </si>
  <si>
    <t>I20E0223F</t>
  </si>
  <si>
    <t>Entrepreneurial Intention of Urban Youth in China</t>
  </si>
  <si>
    <t xml:space="preserve">Dr. Ahmad Ridhuwan Bin Abdullah </t>
  </si>
  <si>
    <t>A23E2785P</t>
  </si>
  <si>
    <t>Investigating the Nexus of Sustainability and Performance of Islamic Banks in Asean-5 Countries</t>
  </si>
  <si>
    <t>A22E049F</t>
  </si>
  <si>
    <t>The Mediating Role of Emotional Labor on Relationships Between Workplace Incivility and Emotional Exhaustion Among Quality Control Managers in Malaysia</t>
  </si>
  <si>
    <t>A24E3681F</t>
  </si>
  <si>
    <t>The Role of Green Supply Chain Management and Government Regulations</t>
  </si>
  <si>
    <t>A24E2832F</t>
  </si>
  <si>
    <t>Green Public Procurement in Ghana: An Analysis of Environmental Sustainability in Public Procurement</t>
  </si>
  <si>
    <t>Dr. Nor Asma Binti Ahmad</t>
  </si>
  <si>
    <t>A22E167F</t>
  </si>
  <si>
    <t>The Impact of Corporate Governance and ESG Disclosure on The Performance of Indonesia-Listed Firms</t>
  </si>
  <si>
    <t>Prof. Madya Dr. Mohd Zain bin Mubarak</t>
  </si>
  <si>
    <t>A20E0163F</t>
  </si>
  <si>
    <t>Teori Keusahawanan Penciptaan Perniagaan Baharu Menurut Perspektif Islam Berdasarkan Al-Kutub Al-Tis'ah</t>
  </si>
  <si>
    <t>A19E001F</t>
  </si>
  <si>
    <t>Brand Experience, Brand Trust and Brand Love Toward Brand Loyalty in Malaysia: The Context of Private Label Brands</t>
  </si>
  <si>
    <t>A19E0042F</t>
  </si>
  <si>
    <t>Household Finance Management Based On Maqasid Shari'ah: Case of Riau.</t>
  </si>
  <si>
    <t>Cost Analysis of Melioidosis: A Retrospective Study in Northern Malaysia.</t>
  </si>
  <si>
    <t>Factor Affecting Job Satisfaction and Job Performance of Nurses in Hunan Public Hospitals</t>
  </si>
  <si>
    <t>A19E0030F</t>
  </si>
  <si>
    <t>Awareness of Baitul Maal Wat Tamwil (BMT) Among the Muslim Community in Riau Province: The Mediation of Maqasid Shari'ah</t>
  </si>
  <si>
    <t xml:space="preserve">En. Mohammad Nizamuddin bin Abdul Rahim </t>
  </si>
  <si>
    <t>A23E2810F</t>
  </si>
  <si>
    <t>The Adoption of Artificial Intelligence (AI) Influences the Financial Audit Quality (AQ) Within the Context of Malaysian Audit Firms</t>
  </si>
  <si>
    <t>A23D026F</t>
  </si>
  <si>
    <t>Optimizing Supply Chain Management for Speed Delivery and Enhanced Customer Satisfaction.</t>
  </si>
  <si>
    <t>Dr. Farah Hanan binti Muhamad</t>
  </si>
  <si>
    <t>A21D070F</t>
  </si>
  <si>
    <t>Factors Influencing E-Commerce Adoption in China: The Role of Organizational Readiness</t>
  </si>
  <si>
    <t>The Mediating role of Effective Management in the Relationship between financial Accounting Information Quality (FAIQ) and Business Performance on SMEs in South Thailand Province</t>
  </si>
  <si>
    <t>A24E2858F</t>
  </si>
  <si>
    <t>Linkage Between Digital Marketing Impact with Mediating Effect of Artificial Intelligence Adoption Towards SME Development Industry in Malaysia</t>
  </si>
  <si>
    <t>A24E2831F</t>
  </si>
  <si>
    <t>Factors Influencing Customer Behaviour towards Shariah-Compliant Digital Gold Savings in Malaysia: The Mediating Effect of Customer Intentions.</t>
  </si>
  <si>
    <t>Pengaruh Kepimpinan Transformasi dan Komitmen Organisasi Terhadap Prestasi Kerja Pensyarah Universiti Muhammadiyah di Indonesia : Pengaruh Pengantara Kepuasan Kerja dan Penyederhanaan Kepimpinan Rohani</t>
  </si>
  <si>
    <t>A23E063F</t>
  </si>
  <si>
    <t>The Impact of Agricultural Assistance Live Streaming Marketing on Consumers’ Purchase Intention: A SOR Theory-Based Mediation Model of Emotional Resonance</t>
  </si>
  <si>
    <t>A23E080F</t>
  </si>
  <si>
    <t>The Influence of Interactive, Sense of Community, Streamer Attractiveness and Information Quality on Customer Loyalty Among Generation Z: Mediating Effect of live Streaming Engagement</t>
  </si>
  <si>
    <t>Hubungan Kompetensi Keusahawanan Terhadap Prestasi Koperasi Sekolah Melalui Tingkah Laku Kepimpinan Transformasi Anggota Lembaga Koperasi Sekolah di Malaysia</t>
  </si>
  <si>
    <t>A22E151F</t>
  </si>
  <si>
    <t>A Study into the Financial Inclusion and Digital Financial Services (DFS) for the Subjective Financial Well-Being (SFWB) of Unbanked Foreign Workers in Malaysia</t>
  </si>
  <si>
    <t>A23D091P</t>
  </si>
  <si>
    <t>Dorongan, Persepsi dan Nilai Keusahawanan dalam Pembelian Emas: Satu Kajian Kualitatif Berteraskan Maqasid Syariah</t>
  </si>
  <si>
    <t>A18E010F</t>
  </si>
  <si>
    <t>Kesejahteraan Kewangan Berdasarkan Konsep Maqasid Syariah: Kajian Kes Penerima Zakat Pendidikan Fisabilillah di IPTA Dalam Pengurusan Perbelanjaan</t>
  </si>
  <si>
    <t>Dr. Yusmazida binti Mohs Yusoff</t>
  </si>
  <si>
    <t>A18E032F</t>
  </si>
  <si>
    <t>The Factors Influencing Employee Retention in Peninsular Malaysia SME Industry and Employee Empowerment as Moderator</t>
  </si>
  <si>
    <t>The Mediating Effect of Trainee Satisfaction on the Relationship between Service Quality and Continuous Intention Among Training Providers at East Coast Region in Malaysia</t>
  </si>
  <si>
    <t>The moderating effects of USD Cycle and RMB Exchange Rate on Capital Market Linkage in China</t>
  </si>
  <si>
    <t>A Study on Interpersonal Skills Among Selected Cases of Successful Malays Entrepreneurs Wholesale SMEs in Terengganu.</t>
  </si>
  <si>
    <t>A23D051F</t>
  </si>
  <si>
    <t>Entrepreneurial Innovation as a Driver of Profitability in Eco Bank PLC Nigeria</t>
  </si>
  <si>
    <t>A21E067F</t>
  </si>
  <si>
    <t>Mediating Effect of Regulatory Focus on Learning Organization Culture and Academic Intrapreneurial Behavior in Malaysian Private Higher Education Institutions</t>
  </si>
  <si>
    <t>A22E053F</t>
  </si>
  <si>
    <t>Mediating Effect of Entrepreneurial Persistence on Entrepreneurial Passion and Operational Performance Among Women Micro-Entrepreneurs in Malaysia</t>
  </si>
  <si>
    <t>Dr. Mardhiah binti Kamaruddin</t>
  </si>
  <si>
    <t>A22E052F</t>
  </si>
  <si>
    <t>Analyzing the Determinants of Financial Performance of Family Takaful Operators in Malaysia Using Python-Based Statistical and Machine Learning Models</t>
  </si>
  <si>
    <t>Dr. Muhammad Pirdaus bin Yusoh</t>
  </si>
  <si>
    <t>A24E3929F</t>
  </si>
  <si>
    <t>The Cartography of Tourist  Stay: Navigating Destination Brand Experiences and Emotional Landscapes in Explaining Tourist Length of Stay</t>
  </si>
  <si>
    <t>Dr. Mohd Shahril Nizam bin Md Radzi</t>
  </si>
  <si>
    <t>A18E014F</t>
  </si>
  <si>
    <t>Stakeholder’s Perceptions of the Regulatory Framework for Public Universities Technology Transfer and Commercialization in Malaysia: A Qualitative Case Study</t>
  </si>
  <si>
    <t>KEKERAPAN PENSYARAH YANG TERLIBAT DENGAN PENILAIAN CADANGAN PENYELIDIKAN (PD) DAN PRA PEPERIKSAAN LISAN (CD)</t>
  </si>
  <si>
    <t>Pensyarah</t>
  </si>
  <si>
    <t>TAHUN 2024</t>
  </si>
  <si>
    <t>TAHUN 2025</t>
  </si>
  <si>
    <t>Pengerusi</t>
  </si>
  <si>
    <t>Jumlah Kekerapan</t>
  </si>
  <si>
    <t>Prof. Dr. Balakrishnan A/L Parasuraman</t>
  </si>
  <si>
    <t>Prof. Dr. Mohammad bin Ismail</t>
  </si>
  <si>
    <t>Prof. Madya Dr. Noorshella Binti Che Nawi</t>
  </si>
  <si>
    <t>Dr. Syarizal Bin Abdul Rahim</t>
  </si>
  <si>
    <t xml:space="preserve">Dr. Siti Som Binti Husin </t>
  </si>
  <si>
    <t xml:space="preserve">Dr. Nur Syafiqah Binti A. Samad </t>
  </si>
  <si>
    <t xml:space="preserve">Dr. Azira Hanani Binti Berahim @ Ab Rahman </t>
  </si>
  <si>
    <r>
      <rPr>
        <sz val="11"/>
        <color theme="1"/>
        <rFont val="Arial"/>
        <family val="2"/>
      </rPr>
      <t>Pn. Nik Noorhazila binti Nik Mud</t>
    </r>
    <r>
      <rPr>
        <sz val="11"/>
        <color rgb="FFFF0000"/>
        <rFont val="Arial"/>
        <family val="2"/>
      </rPr>
      <t xml:space="preserve"> </t>
    </r>
  </si>
  <si>
    <t>Dr. Nur A’mira binti Mohd Yaziz</t>
  </si>
  <si>
    <t>A22E004F</t>
  </si>
  <si>
    <t>Positive Leadership Styles, Psychological and Social Capital Effects on Well-Being of Administrative and Diplomatic Officers in the Malaysian Public Sector</t>
  </si>
  <si>
    <t xml:space="preserve">Dr. Siti Amaliya binti Mohd Radyi </t>
  </si>
  <si>
    <t>A24E2859F</t>
  </si>
  <si>
    <t>The Effect of Social Media Marketing, Digital Transformational Capabilities, and Digital Entrepreneurial Orientation toward Edutechpreneur Business Performance: The Mediating Role of Organizational Agility</t>
  </si>
  <si>
    <t>A23E2812F</t>
  </si>
  <si>
    <t>Effects of FDI, Stock Market, Interest Rate and Trade Openness on Green Economic Growth in China the Moderating Effects of Institutional Quality’s</t>
  </si>
  <si>
    <t>Hubungan antara Strategi Kepimpinan, Tumpuan Regulasi dan Tingkah Laku Keusahawanan dalam Kalangan Akademik di Institusi Pengajian Tinggi Awam Malayisia</t>
  </si>
  <si>
    <t>The Impact of Digital Inclusive Finance on Financing Constraints of Small and Title of Research Medium-sized Enterprises in China — On the Perspective of Debt Financing</t>
  </si>
  <si>
    <t>date</t>
  </si>
  <si>
    <t>time</t>
  </si>
  <si>
    <t>11:00</t>
  </si>
  <si>
    <t>10:30</t>
  </si>
  <si>
    <t>14:30</t>
  </si>
  <si>
    <t>10:00</t>
  </si>
  <si>
    <t>09:30</t>
  </si>
  <si>
    <t>09:00</t>
  </si>
  <si>
    <t>full name</t>
  </si>
  <si>
    <t>state_id</t>
  </si>
  <si>
    <t>stage_id</t>
  </si>
  <si>
    <t>chairman</t>
  </si>
  <si>
    <t>deputy_chairman</t>
  </si>
  <si>
    <t>panel1</t>
  </si>
  <si>
    <t>panel2</t>
  </si>
  <si>
    <t>thesis_title</t>
  </si>
  <si>
    <t>no.</t>
  </si>
  <si>
    <t>student_id</t>
  </si>
  <si>
    <t>semester_id</t>
  </si>
  <si>
    <t>semeste_id</t>
  </si>
  <si>
    <t>date_start</t>
  </si>
  <si>
    <t>date_end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</si>
</sst>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yyyy\-mm\-dd"/>
  </numFmts>
  <fonts count="16">
    <font>
      <sz val="11"/>
      <color theme="1"/>
      <name val="Calibri"/>
      <charset val="134"/>
      <scheme val="minor"/>
    </font>
    <font>
      <b/>
      <sz val="11"/>
      <color theme="1"/>
      <name val="Arial"/>
      <family val="2"/>
    </font>
    <font>
      <b/>
      <sz val="11"/>
      <color theme="0"/>
      <name val="Calibri"/>
      <family val="2"/>
    </font>
    <font>
      <sz val="11"/>
      <name val="Calibri"/>
      <family val="2"/>
      <scheme val="minor"/>
    </font>
    <font>
      <b/>
      <sz val="10"/>
      <color theme="1"/>
      <name val="Arial"/>
      <family val="2"/>
    </font>
    <font>
      <sz val="11"/>
      <color theme="1"/>
      <name val="Arial"/>
      <family val="2"/>
    </font>
    <font>
      <b/>
      <sz val="11"/>
      <color theme="1"/>
      <name val="Calibri"/>
      <family val="2"/>
    </font>
    <font>
      <sz val="11"/>
      <color theme="1"/>
      <name val="Calibri"/>
      <family val="2"/>
    </font>
    <font>
      <sz val="11"/>
      <color rgb="FF000000"/>
      <name val="Arial"/>
      <family val="2"/>
    </font>
    <font>
      <sz val="11"/>
      <color rgb="FF222222"/>
      <name val="Arial"/>
      <family val="2"/>
    </font>
    <font>
      <sz val="11"/>
      <color rgb="FFFF0000"/>
      <name val="Arial"/>
      <family val="2"/>
    </font>
    <font>
      <sz val="11"/>
      <color theme="1"/>
      <name val="Arial"/>
      <family val="2"/>
    </font>
    <font>
      <sz val="11"/>
      <color rgb="FF000000"/>
      <name val="Arial"/>
      <family val="2"/>
    </font>
    <font>
      <sz val="11"/>
      <name val="Arial"/>
      <family val="2"/>
    </font>
    <font>
      <b/>
      <sz val="11"/>
      <name val="Calibri"/>
      <family val="2"/>
    </font>
    <font>
      <sz val="11"/>
      <name val="Calibri"/>
      <family val="2"/>
      <scheme val="minor"/>
    </font>
  </fonts>
  <fills count="14">
    <fill>
      <patternFill patternType="none"/>
    </fill>
    <fill>
      <patternFill patternType="gray125"/>
    </fill>
    <fill>
      <patternFill patternType="solid">
        <fgColor rgb="FFC5E0B3"/>
        <bgColor rgb="FFC5E0B3"/>
      </patternFill>
    </fill>
    <fill>
      <patternFill patternType="solid">
        <fgColor rgb="FF385623"/>
        <bgColor rgb="FF385623"/>
      </patternFill>
    </fill>
    <fill>
      <patternFill patternType="solid">
        <fgColor theme="0"/>
        <bgColor theme="0"/>
      </patternFill>
    </fill>
    <fill>
      <patternFill patternType="solid">
        <fgColor rgb="FFFFFFFF"/>
        <bgColor rgb="FFFFFFFF"/>
      </patternFill>
    </fill>
    <fill>
      <patternFill patternType="solid">
        <fgColor theme="7" tint="0.59999389629810485"/>
        <bgColor indexed="64"/>
      </patternFill>
    </fill>
    <fill>
      <patternFill patternType="solid">
        <fgColor theme="7" tint="0.59999389629810485"/>
        <bgColor rgb="FFC5E0B3"/>
      </patternFill>
    </fill>
    <fill>
      <patternFill patternType="solid">
        <fgColor rgb="FFFF0000"/>
        <bgColor indexed="64"/>
      </patternFill>
    </fill>
    <fill>
      <patternFill patternType="solid">
        <fgColor rgb="FFFF0000"/>
        <bgColor rgb="FFC5E0B3"/>
      </patternFill>
    </fill>
    <fill>
      <patternFill patternType="solid">
        <fgColor rgb="FFFF0000"/>
        <bgColor theme="0"/>
      </patternFill>
    </fill>
    <fill>
      <patternFill patternType="solid">
        <fgColor theme="0"/>
        <bgColor indexed="64"/>
      </patternFill>
    </fill>
    <fill>
      <patternFill patternType="solid">
        <fgColor theme="0"/>
        <bgColor rgb="FFFFE598"/>
      </patternFill>
    </fill>
    <fill>
      <patternFill patternType="solid">
        <fgColor theme="7" tint="0.59999389629810485"/>
        <bgColor rgb="FFFFE598"/>
      </patternFill>
    </fill>
  </fills>
  <borders count="10">
    <border>
      <left/>
      <right/>
      <top/>
      <bottom/>
      <diagonal/>
    </border>
    <border>
      <left style="thin">
        <color rgb="FF000000"/>
      </left>
      <right style="thin">
        <color rgb="FF000000"/>
      </right>
      <top style="thin">
        <color rgb="FF000000"/>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style="thin">
        <color rgb="FF000000"/>
      </left>
      <right/>
      <top/>
      <bottom/>
      <diagonal/>
    </border>
    <border>
      <left style="thin">
        <color auto="1"/>
      </left>
      <right style="thin">
        <color auto="1"/>
      </right>
      <top style="thin">
        <color auto="1"/>
      </top>
      <bottom/>
      <diagonal/>
    </border>
    <border>
      <left/>
      <right style="thin">
        <color rgb="FF000000"/>
      </right>
      <top style="thin">
        <color rgb="FF000000"/>
      </top>
      <bottom/>
      <diagonal/>
    </border>
  </borders>
  <cellStyleXfs count="1">
    <xf numFmtId="0" fontId="0" fillId="0" borderId="0"/>
  </cellStyleXfs>
  <cellXfs count="105">
    <xf numFmtId="0" fontId="0" fillId="0" borderId="0" xfId="0" applyFont="1" applyAlignment="1"/>
    <xf numFmtId="0" fontId="1" fillId="0" borderId="0" xfId="0" applyFont="1" applyAlignment="1">
      <alignment horizontal="center" vertical="center" wrapText="1"/>
    </xf>
    <xf numFmtId="0" fontId="4" fillId="2" borderId="4" xfId="0" applyFont="1" applyFill="1" applyBorder="1" applyAlignment="1">
      <alignment horizontal="center" vertical="center" wrapText="1"/>
    </xf>
    <xf numFmtId="0" fontId="4" fillId="2" borderId="5" xfId="0" applyFont="1" applyFill="1" applyBorder="1" applyAlignment="1">
      <alignment horizontal="center" vertical="center" wrapText="1"/>
    </xf>
    <xf numFmtId="0" fontId="5" fillId="0" borderId="5" xfId="0" applyFont="1" applyBorder="1" applyAlignment="1">
      <alignment horizontal="center" vertical="center"/>
    </xf>
    <xf numFmtId="0" fontId="5" fillId="0" borderId="5" xfId="0" applyFont="1" applyBorder="1" applyAlignment="1">
      <alignment vertical="center"/>
    </xf>
    <xf numFmtId="0" fontId="6" fillId="2" borderId="5" xfId="0" applyFont="1" applyFill="1" applyBorder="1" applyAlignment="1">
      <alignment horizontal="center" vertical="center"/>
    </xf>
    <xf numFmtId="0" fontId="5" fillId="0" borderId="5" xfId="0" applyFont="1" applyBorder="1" applyAlignment="1">
      <alignment vertical="center" wrapText="1"/>
    </xf>
    <xf numFmtId="0" fontId="5" fillId="4" borderId="5" xfId="0" applyFont="1" applyFill="1" applyBorder="1" applyAlignment="1">
      <alignment vertical="center" wrapText="1"/>
    </xf>
    <xf numFmtId="0" fontId="5" fillId="0" borderId="0" xfId="0" applyFont="1" applyAlignment="1">
      <alignment vertical="center" wrapText="1"/>
    </xf>
    <xf numFmtId="0" fontId="5" fillId="4" borderId="5" xfId="0" applyFont="1" applyFill="1" applyBorder="1" applyAlignment="1">
      <alignment vertical="center"/>
    </xf>
    <xf numFmtId="0" fontId="6" fillId="0" borderId="0" xfId="0" applyFont="1" applyAlignment="1">
      <alignment horizontal="center"/>
    </xf>
    <xf numFmtId="0" fontId="5" fillId="0" borderId="0" xfId="0" applyFont="1" applyAlignment="1">
      <alignment vertical="center"/>
    </xf>
    <xf numFmtId="0" fontId="5" fillId="0" borderId="1" xfId="0" applyFont="1" applyBorder="1" applyAlignment="1">
      <alignment horizontal="center" vertical="center"/>
    </xf>
    <xf numFmtId="0" fontId="6" fillId="2" borderId="1" xfId="0" applyFont="1" applyFill="1" applyBorder="1" applyAlignment="1">
      <alignment horizontal="center" vertical="center"/>
    </xf>
    <xf numFmtId="0" fontId="5" fillId="0" borderId="1" xfId="0" applyFont="1" applyBorder="1" applyAlignment="1">
      <alignment vertical="center" wrapText="1"/>
    </xf>
    <xf numFmtId="0" fontId="5" fillId="0" borderId="6" xfId="0" applyFont="1" applyBorder="1" applyAlignment="1">
      <alignment vertical="center" wrapText="1"/>
    </xf>
    <xf numFmtId="0" fontId="5" fillId="0" borderId="4" xfId="0" applyFont="1" applyBorder="1" applyAlignment="1">
      <alignment horizontal="center" vertical="center"/>
    </xf>
    <xf numFmtId="0" fontId="5" fillId="0" borderId="0" xfId="0" applyFont="1" applyAlignment="1">
      <alignment horizontal="center" vertical="center"/>
    </xf>
    <xf numFmtId="0" fontId="5" fillId="0" borderId="0" xfId="0" applyFont="1"/>
    <xf numFmtId="0" fontId="7" fillId="0" borderId="0" xfId="0" applyFont="1"/>
    <xf numFmtId="0" fontId="7" fillId="0" borderId="0" xfId="0" applyFont="1" applyAlignment="1">
      <alignment vertical="center"/>
    </xf>
    <xf numFmtId="0" fontId="0" fillId="0" borderId="0" xfId="0" applyFont="1" applyFill="1" applyAlignment="1"/>
    <xf numFmtId="0" fontId="5" fillId="4" borderId="0" xfId="0" applyFont="1" applyFill="1" applyBorder="1" applyAlignment="1">
      <alignment vertical="center" wrapText="1"/>
    </xf>
    <xf numFmtId="0" fontId="5" fillId="0" borderId="0" xfId="0" applyFont="1" applyFill="1" applyBorder="1" applyAlignment="1">
      <alignment vertical="center" wrapText="1"/>
    </xf>
    <xf numFmtId="0" fontId="8" fillId="5" borderId="0" xfId="0" applyFont="1" applyFill="1" applyBorder="1" applyAlignment="1">
      <alignment vertical="center" wrapText="1"/>
    </xf>
    <xf numFmtId="0" fontId="5" fillId="4" borderId="0" xfId="0" applyFont="1" applyFill="1" applyBorder="1" applyAlignment="1">
      <alignment vertical="center"/>
    </xf>
    <xf numFmtId="0" fontId="5" fillId="4" borderId="0" xfId="0" applyFont="1" applyFill="1" applyBorder="1" applyAlignment="1">
      <alignment wrapText="1"/>
    </xf>
    <xf numFmtId="49" fontId="5" fillId="4" borderId="0" xfId="0" applyNumberFormat="1" applyFont="1" applyFill="1" applyBorder="1" applyAlignment="1">
      <alignment vertical="center" wrapText="1"/>
    </xf>
    <xf numFmtId="0" fontId="0" fillId="0" borderId="0" xfId="0" applyFont="1" applyAlignment="1"/>
    <xf numFmtId="0" fontId="5" fillId="0" borderId="0" xfId="0" applyFont="1" applyBorder="1" applyAlignment="1">
      <alignment vertical="center" wrapText="1"/>
    </xf>
    <xf numFmtId="0" fontId="5" fillId="0" borderId="7" xfId="0" applyFont="1" applyBorder="1" applyAlignment="1">
      <alignment horizontal="center" vertical="center"/>
    </xf>
    <xf numFmtId="0" fontId="5" fillId="0" borderId="8" xfId="0" applyFont="1" applyBorder="1" applyAlignment="1">
      <alignment vertical="center" wrapText="1"/>
    </xf>
    <xf numFmtId="0" fontId="5" fillId="0" borderId="9" xfId="0" applyFont="1" applyBorder="1" applyAlignment="1">
      <alignment horizontal="center" vertical="center"/>
    </xf>
    <xf numFmtId="0" fontId="5" fillId="0" borderId="6" xfId="0" applyFont="1" applyBorder="1" applyAlignment="1">
      <alignment horizontal="center" vertical="center"/>
    </xf>
    <xf numFmtId="0" fontId="5" fillId="6" borderId="5" xfId="0" applyFont="1" applyFill="1" applyBorder="1" applyAlignment="1">
      <alignment horizontal="center" vertical="center"/>
    </xf>
    <xf numFmtId="0" fontId="5" fillId="6" borderId="0" xfId="0" applyFont="1" applyFill="1" applyAlignment="1">
      <alignment vertical="center" wrapText="1"/>
    </xf>
    <xf numFmtId="0" fontId="6" fillId="7" borderId="5" xfId="0" applyFont="1" applyFill="1" applyBorder="1" applyAlignment="1">
      <alignment horizontal="center" vertical="center"/>
    </xf>
    <xf numFmtId="0" fontId="5" fillId="8" borderId="5" xfId="0" applyFont="1" applyFill="1" applyBorder="1" applyAlignment="1">
      <alignment horizontal="center" vertical="center"/>
    </xf>
    <xf numFmtId="0" fontId="5" fillId="8" borderId="5" xfId="0" applyFont="1" applyFill="1" applyBorder="1" applyAlignment="1">
      <alignment vertical="center" wrapText="1"/>
    </xf>
    <xf numFmtId="0" fontId="6" fillId="9" borderId="5" xfId="0" applyFont="1" applyFill="1" applyBorder="1" applyAlignment="1">
      <alignment horizontal="center" vertical="center"/>
    </xf>
    <xf numFmtId="0" fontId="15" fillId="0" borderId="0" xfId="0" applyFont="1" applyAlignment="1"/>
    <xf numFmtId="0" fontId="13" fillId="8" borderId="5" xfId="0" applyFont="1" applyFill="1" applyBorder="1" applyAlignment="1">
      <alignment horizontal="center" vertical="center"/>
    </xf>
    <xf numFmtId="0" fontId="13" fillId="10" borderId="5" xfId="0" applyFont="1" applyFill="1" applyBorder="1" applyAlignment="1">
      <alignment vertical="center"/>
    </xf>
    <xf numFmtId="0" fontId="14" fillId="9" borderId="5" xfId="0" applyFont="1" applyFill="1" applyBorder="1" applyAlignment="1">
      <alignment horizontal="center" vertical="center"/>
    </xf>
    <xf numFmtId="0" fontId="5" fillId="8" borderId="5" xfId="0" applyFont="1" applyFill="1" applyBorder="1" applyAlignment="1">
      <alignment vertical="center"/>
    </xf>
    <xf numFmtId="0" fontId="7" fillId="12" borderId="0" xfId="0" applyFont="1" applyFill="1" applyBorder="1"/>
    <xf numFmtId="0" fontId="0" fillId="11" borderId="0" xfId="0" applyFont="1" applyFill="1" applyAlignment="1"/>
    <xf numFmtId="0" fontId="5" fillId="13" borderId="5" xfId="0" applyFont="1" applyFill="1" applyBorder="1" applyAlignment="1">
      <alignment vertical="center"/>
    </xf>
    <xf numFmtId="0" fontId="5" fillId="13" borderId="5" xfId="0" applyFont="1" applyFill="1" applyBorder="1" applyAlignment="1">
      <alignment horizontal="center" vertical="center"/>
    </xf>
    <xf numFmtId="0" fontId="5" fillId="13" borderId="5" xfId="0" applyFont="1" applyFill="1" applyBorder="1" applyAlignment="1">
      <alignment vertical="center" wrapText="1"/>
    </xf>
    <xf numFmtId="0" fontId="11" fillId="0" borderId="6" xfId="0" applyFont="1" applyBorder="1" applyAlignment="1">
      <alignment vertical="center" wrapText="1"/>
    </xf>
    <xf numFmtId="0" fontId="5" fillId="0" borderId="0" xfId="0" applyFont="1" applyBorder="1" applyAlignment="1">
      <alignment horizontal="center" vertical="center"/>
    </xf>
    <xf numFmtId="0" fontId="11" fillId="0" borderId="0" xfId="0" applyFont="1" applyBorder="1" applyAlignment="1">
      <alignment vertical="center" wrapText="1"/>
    </xf>
    <xf numFmtId="0" fontId="5" fillId="0" borderId="8" xfId="0" applyFont="1" applyBorder="1" applyAlignment="1">
      <alignment horizontal="center" vertical="center"/>
    </xf>
    <xf numFmtId="0" fontId="11" fillId="0" borderId="8" xfId="0" applyFont="1" applyBorder="1" applyAlignment="1">
      <alignment vertical="center" wrapText="1"/>
    </xf>
    <xf numFmtId="0" fontId="6" fillId="2" borderId="6" xfId="0" applyFont="1" applyFill="1" applyBorder="1" applyAlignment="1">
      <alignment horizontal="center" vertical="center"/>
    </xf>
    <xf numFmtId="0" fontId="5" fillId="0" borderId="6" xfId="0" applyFont="1" applyBorder="1"/>
    <xf numFmtId="0" fontId="7" fillId="0" borderId="6" xfId="0" applyFont="1" applyBorder="1"/>
    <xf numFmtId="0" fontId="6" fillId="0" borderId="6" xfId="0" applyFont="1" applyBorder="1"/>
    <xf numFmtId="0" fontId="0" fillId="0" borderId="6" xfId="0" applyFont="1" applyBorder="1" applyAlignment="1"/>
    <xf numFmtId="0" fontId="5" fillId="0" borderId="6" xfId="0" applyFont="1" applyBorder="1" applyAlignment="1">
      <alignment vertical="center"/>
    </xf>
    <xf numFmtId="0" fontId="6" fillId="0" borderId="6" xfId="0" applyFont="1" applyBorder="1" applyAlignment="1">
      <alignment horizontal="center"/>
    </xf>
    <xf numFmtId="0" fontId="5" fillId="6" borderId="6" xfId="0" applyFont="1" applyFill="1" applyBorder="1" applyAlignment="1">
      <alignment horizontal="center" vertical="center"/>
    </xf>
    <xf numFmtId="0" fontId="5" fillId="6" borderId="6" xfId="0" applyFont="1" applyFill="1" applyBorder="1" applyAlignment="1">
      <alignment vertical="center" wrapText="1"/>
    </xf>
    <xf numFmtId="0" fontId="5" fillId="6" borderId="8" xfId="0" applyFont="1" applyFill="1" applyBorder="1" applyAlignment="1">
      <alignment horizontal="center" vertical="center"/>
    </xf>
    <xf numFmtId="0" fontId="5" fillId="6" borderId="9" xfId="0" applyFont="1" applyFill="1" applyBorder="1" applyAlignment="1">
      <alignment horizontal="center" vertical="center"/>
    </xf>
    <xf numFmtId="0" fontId="6" fillId="7" borderId="1" xfId="0" applyFont="1" applyFill="1" applyBorder="1" applyAlignment="1">
      <alignment horizontal="center" vertical="center"/>
    </xf>
    <xf numFmtId="0" fontId="5" fillId="6" borderId="1" xfId="0" applyFont="1" applyFill="1" applyBorder="1" applyAlignment="1">
      <alignment horizontal="center" vertical="center"/>
    </xf>
    <xf numFmtId="0" fontId="6" fillId="7" borderId="6" xfId="0" applyFont="1" applyFill="1" applyBorder="1" applyAlignment="1">
      <alignment horizontal="center" vertical="center"/>
    </xf>
    <xf numFmtId="0" fontId="6" fillId="7" borderId="8" xfId="0" applyFont="1" applyFill="1" applyBorder="1" applyAlignment="1">
      <alignment horizontal="center" vertical="center"/>
    </xf>
    <xf numFmtId="0" fontId="5" fillId="0" borderId="0" xfId="0" applyFont="1" applyBorder="1" applyAlignment="1">
      <alignment horizontal="center" vertical="center" wrapText="1"/>
    </xf>
    <xf numFmtId="0" fontId="1" fillId="0" borderId="0" xfId="0" applyFont="1" applyBorder="1" applyAlignment="1">
      <alignment horizontal="center" vertical="center" wrapText="1"/>
    </xf>
    <xf numFmtId="49" fontId="1" fillId="0" borderId="0" xfId="0" applyNumberFormat="1" applyFont="1" applyBorder="1" applyAlignment="1">
      <alignment horizontal="center" vertical="center" wrapText="1"/>
    </xf>
    <xf numFmtId="49" fontId="5" fillId="0" borderId="0" xfId="0" applyNumberFormat="1" applyFont="1" applyBorder="1" applyAlignment="1">
      <alignment vertical="center" wrapText="1"/>
    </xf>
    <xf numFmtId="0" fontId="0" fillId="0" borderId="0" xfId="0" applyFont="1" applyBorder="1" applyAlignment="1"/>
    <xf numFmtId="0" fontId="8" fillId="0" borderId="0" xfId="0" applyFont="1" applyBorder="1" applyAlignment="1">
      <alignment vertical="center" wrapText="1"/>
    </xf>
    <xf numFmtId="0" fontId="5" fillId="0" borderId="0" xfId="0" applyFont="1" applyBorder="1" applyAlignment="1">
      <alignment horizontal="left" vertical="center" wrapText="1"/>
    </xf>
    <xf numFmtId="0" fontId="9" fillId="0" borderId="0" xfId="0" applyFont="1" applyBorder="1" applyAlignment="1">
      <alignment vertical="center" wrapText="1"/>
    </xf>
    <xf numFmtId="0" fontId="8" fillId="0" borderId="0" xfId="0" applyFont="1" applyBorder="1" applyAlignment="1">
      <alignment vertical="center"/>
    </xf>
    <xf numFmtId="0" fontId="8" fillId="0" borderId="0" xfId="0" applyFont="1" applyBorder="1" applyAlignment="1">
      <alignment horizontal="center" vertical="center" wrapText="1"/>
    </xf>
    <xf numFmtId="0" fontId="5" fillId="0" borderId="0" xfId="0" applyFont="1" applyBorder="1" applyAlignment="1">
      <alignment wrapText="1"/>
    </xf>
    <xf numFmtId="0" fontId="5" fillId="0" borderId="0" xfId="0" applyFont="1" applyBorder="1" applyAlignment="1">
      <alignment vertical="center"/>
    </xf>
    <xf numFmtId="0" fontId="5" fillId="0" borderId="0" xfId="0" applyFont="1" applyBorder="1" applyAlignment="1">
      <alignment horizontal="left" vertical="center"/>
    </xf>
    <xf numFmtId="0" fontId="8" fillId="0" borderId="0" xfId="0" applyFont="1" applyFill="1" applyBorder="1" applyAlignment="1">
      <alignment vertical="center" wrapText="1"/>
    </xf>
    <xf numFmtId="49" fontId="5" fillId="0" borderId="0" xfId="0" applyNumberFormat="1" applyFont="1" applyFill="1" applyBorder="1" applyAlignment="1">
      <alignment vertical="center" wrapText="1"/>
    </xf>
    <xf numFmtId="0" fontId="12" fillId="0" borderId="0" xfId="0" applyFont="1" applyBorder="1" applyAlignment="1">
      <alignment vertical="center" wrapText="1"/>
    </xf>
    <xf numFmtId="0" fontId="12" fillId="0" borderId="0" xfId="0" applyFont="1" applyBorder="1" applyAlignment="1">
      <alignment vertical="center"/>
    </xf>
    <xf numFmtId="0" fontId="5" fillId="11" borderId="0" xfId="0" applyFont="1" applyFill="1" applyBorder="1" applyAlignment="1">
      <alignment vertical="center" wrapText="1"/>
    </xf>
    <xf numFmtId="49" fontId="11" fillId="0" borderId="0" xfId="0" applyNumberFormat="1" applyFont="1" applyBorder="1" applyAlignment="1">
      <alignment vertical="center" wrapText="1"/>
    </xf>
    <xf numFmtId="0" fontId="5" fillId="4" borderId="0" xfId="0" applyFont="1" applyFill="1" applyAlignment="1">
      <alignment vertical="center" wrapText="1"/>
    </xf>
    <xf numFmtId="0" fontId="5" fillId="0" borderId="0" xfId="0" applyFont="1" applyAlignment="1">
      <alignment vertical="center" wrapText="1"/>
    </xf>
    <xf numFmtId="0" fontId="5" fillId="0" borderId="0" xfId="0" applyFont="1" applyBorder="1" applyAlignment="1">
      <alignment vertical="center" wrapText="1"/>
    </xf>
    <xf numFmtId="0" fontId="5" fillId="0" borderId="0" xfId="0" applyFont="1" applyAlignment="1">
      <alignment horizontal="center" vertical="center" wrapText="1"/>
    </xf>
    <xf numFmtId="0" fontId="0" fillId="0" borderId="0" xfId="0" applyFont="1" applyAlignment="1"/>
    <xf numFmtId="164" fontId="1" fillId="0" borderId="0" xfId="0" applyNumberFormat="1" applyFont="1" applyBorder="1" applyAlignment="1">
      <alignment horizontal="center" vertical="center" wrapText="1"/>
    </xf>
    <xf numFmtId="164" fontId="5" fillId="0" borderId="0" xfId="0" applyNumberFormat="1" applyFont="1" applyBorder="1" applyAlignment="1">
      <alignment vertical="center" wrapText="1"/>
    </xf>
    <xf numFmtId="164" fontId="0" fillId="0" borderId="0" xfId="0" applyNumberFormat="1" applyFont="1" applyBorder="1" applyAlignment="1"/>
    <xf numFmtId="0" fontId="1" fillId="0" borderId="0" xfId="0" applyFont="1" applyAlignment="1">
      <alignment horizontal="center" vertical="center" wrapText="1"/>
    </xf>
    <xf numFmtId="0" fontId="0" fillId="0" borderId="0" xfId="0" applyFont="1" applyAlignment="1"/>
    <xf numFmtId="0" fontId="2" fillId="3" borderId="2" xfId="0" applyFont="1" applyFill="1" applyBorder="1" applyAlignment="1">
      <alignment horizontal="center"/>
    </xf>
    <xf numFmtId="0" fontId="3" fillId="0" borderId="2" xfId="0" applyFont="1" applyBorder="1"/>
    <xf numFmtId="0" fontId="1" fillId="2" borderId="1" xfId="0" applyFont="1" applyFill="1" applyBorder="1" applyAlignment="1">
      <alignment horizontal="center" vertical="center" wrapText="1"/>
    </xf>
    <xf numFmtId="0" fontId="3" fillId="0" borderId="3" xfId="0" applyFont="1" applyBorder="1"/>
    <xf numFmtId="14" fontId="0" fillId="0" borderId="0" xfId="0" applyNumberFormat="1" applyFont="1" applyAlignment="1"/>
  </cellXfs>
  <cellStyles count="1">
    <cellStyle name="Normal" xfId="0" builtinId="0"/>
  </cellStyles>
  <dxfs count="18">
    <dxf>
      <font>
        <b val="0"/>
        <i val="0"/>
        <strike val="0"/>
        <condense val="0"/>
        <extend val="0"/>
        <outline val="0"/>
        <shadow val="0"/>
        <u val="none"/>
        <vertAlign val="baseline"/>
        <sz val="11"/>
        <color theme="1"/>
        <name val="Arial"/>
        <family val="2"/>
        <scheme val="none"/>
      </font>
      <alignment horizontal="general" vertical="center" textRotation="0" wrapText="1" indent="0" justifyLastLine="0" shrinkToFit="0" readingOrder="0"/>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7"/>
      <tableStyleElement type="headerRow" dxfId="16"/>
      <tableStyleElement type="totalRow" dxfId="15"/>
      <tableStyleElement type="firstColumn" dxfId="14"/>
      <tableStyleElement type="lastColumn" dxfId="13"/>
      <tableStyleElement type="firstRowStripe" dxfId="12"/>
      <tableStyleElement type="firstColumnStripe" dxfId="11"/>
    </tableStyle>
    <tableStyle name="PivotStylePreset2_Accent1" table="0" count="10" xr9:uid="{267968C8-6FFD-4C36-ACC1-9EA1FD1885CA}">
      <tableStyleElement type="headerRow" dxfId="10"/>
      <tableStyleElement type="totalRow" dxfId="9"/>
      <tableStyleElement type="firstRowStripe" dxfId="8"/>
      <tableStyleElement type="firstColumnStripe" dxfId="7"/>
      <tableStyleElement type="firstSubtotalRow" dxfId="6"/>
      <tableStyleElement type="secondSubtotalRow" dxfId="5"/>
      <tableStyleElement type="firstRowSubheading" dxfId="4"/>
      <tableStyleElement type="secondRowSubheading" dxfId="3"/>
      <tableStyleElement type="pageFieldLabels" dxfId="2"/>
      <tableStyleElement type="pageFieldValues"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573789A-053A-474C-AF7C-AF405B8DD654}" name="Table1" displayName="Table1" ref="A1:B8" totalsRowShown="0">
  <autoFilter ref="A1:B8" xr:uid="{D573789A-053A-474C-AF7C-AF405B8DD654}"/>
  <tableColumns count="2">
    <tableColumn id="1" xr3:uid="{BDA1C8BE-9BC1-43F7-80EB-B57B4E3B34EC}" name="full name" dataDxfId="0"/>
    <tableColumn id="2" xr3:uid="{BBEC26A4-CBF7-45A8-BFFB-34264968FA48}" name="state_id"/>
  </tableColumns>
  <tableStyleInfo name="TableStylePreset3_Accen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132"/>
  <sheetViews>
    <sheetView workbookViewId="0">
      <pane ySplit="1" topLeftCell="A77" activePane="bottomLeft" state="frozen"/>
      <selection pane="bottomLeft" activeCell="F3" sqref="F3"/>
    </sheetView>
  </sheetViews>
  <sheetFormatPr defaultColWidth="14.42578125" defaultRowHeight="15" customHeight="1"/>
  <cols>
    <col min="1" max="1" width="5.42578125" style="75" customWidth="1"/>
    <col min="2" max="2" width="11.28515625" style="97" customWidth="1"/>
    <col min="3" max="3" width="9.85546875" style="75" bestFit="1" customWidth="1"/>
    <col min="4" max="4" width="34" style="75" customWidth="1"/>
    <col min="5" max="5" width="16.28515625" style="75" bestFit="1" customWidth="1"/>
    <col min="6" max="10" width="27.42578125" style="75" customWidth="1"/>
    <col min="11" max="11" width="31.85546875" style="75" customWidth="1"/>
  </cols>
  <sheetData>
    <row r="1" spans="1:11" ht="30">
      <c r="A1" s="72" t="s">
        <v>389</v>
      </c>
      <c r="B1" s="95" t="s">
        <v>373</v>
      </c>
      <c r="C1" s="73" t="s">
        <v>374</v>
      </c>
      <c r="D1" s="73" t="s">
        <v>391</v>
      </c>
      <c r="E1" s="72" t="s">
        <v>390</v>
      </c>
      <c r="F1" s="72" t="s">
        <v>383</v>
      </c>
      <c r="G1" s="72" t="s">
        <v>384</v>
      </c>
      <c r="H1" s="72" t="s">
        <v>385</v>
      </c>
      <c r="I1" s="72" t="s">
        <v>386</v>
      </c>
      <c r="J1" s="72" t="s">
        <v>387</v>
      </c>
      <c r="K1" s="72" t="s">
        <v>388</v>
      </c>
    </row>
    <row r="2" spans="1:11" ht="99.75">
      <c r="A2" s="71">
        <v>1</v>
      </c>
      <c r="B2" s="96">
        <v>45467</v>
      </c>
      <c r="C2" s="74" t="s">
        <v>375</v>
      </c>
      <c r="D2" s="74"/>
      <c r="E2" s="30" t="s">
        <v>9</v>
      </c>
      <c r="F2" s="93">
        <v>30</v>
      </c>
      <c r="G2" s="91" t="s">
        <v>4</v>
      </c>
      <c r="H2" s="91" t="s">
        <v>5</v>
      </c>
      <c r="I2" s="91" t="s">
        <v>6</v>
      </c>
      <c r="J2" s="91" t="s">
        <v>7</v>
      </c>
      <c r="K2" s="30" t="s">
        <v>10</v>
      </c>
    </row>
    <row r="3" spans="1:11" ht="99.75">
      <c r="A3" s="71">
        <v>2</v>
      </c>
      <c r="B3" s="96">
        <v>45440</v>
      </c>
      <c r="C3" s="74" t="s">
        <v>376</v>
      </c>
      <c r="D3" s="74"/>
      <c r="E3" s="30" t="s">
        <v>15</v>
      </c>
      <c r="F3" s="93">
        <v>30</v>
      </c>
      <c r="G3" s="91" t="s">
        <v>11</v>
      </c>
      <c r="H3" s="91" t="s">
        <v>12</v>
      </c>
      <c r="I3" s="91" t="s">
        <v>13</v>
      </c>
      <c r="J3" s="91" t="s">
        <v>14</v>
      </c>
      <c r="K3" s="30" t="s">
        <v>16</v>
      </c>
    </row>
    <row r="4" spans="1:11" ht="42.75">
      <c r="A4" s="71">
        <v>3</v>
      </c>
      <c r="B4" s="96">
        <v>45455</v>
      </c>
      <c r="C4" s="74" t="s">
        <v>377</v>
      </c>
      <c r="D4" s="74"/>
      <c r="E4" s="30" t="s">
        <v>22</v>
      </c>
      <c r="F4" s="93">
        <v>20</v>
      </c>
      <c r="G4" s="91" t="s">
        <v>17</v>
      </c>
      <c r="H4" s="91" t="s">
        <v>18</v>
      </c>
      <c r="I4" s="91" t="s">
        <v>19</v>
      </c>
      <c r="J4" s="91" t="s">
        <v>20</v>
      </c>
      <c r="K4" s="30" t="s">
        <v>23</v>
      </c>
    </row>
    <row r="5" spans="1:11" ht="128.25">
      <c r="A5" s="71">
        <v>4</v>
      </c>
      <c r="B5" s="96">
        <v>45439</v>
      </c>
      <c r="C5" s="74" t="s">
        <v>379</v>
      </c>
      <c r="D5" s="74"/>
      <c r="E5" s="30" t="s">
        <v>27</v>
      </c>
      <c r="F5" s="93">
        <v>20</v>
      </c>
      <c r="G5" s="91" t="s">
        <v>11</v>
      </c>
      <c r="H5" s="91" t="s">
        <v>24</v>
      </c>
      <c r="I5" s="91" t="s">
        <v>25</v>
      </c>
      <c r="J5" s="91" t="s">
        <v>26</v>
      </c>
      <c r="K5" s="30" t="s">
        <v>28</v>
      </c>
    </row>
    <row r="6" spans="1:11" ht="71.25">
      <c r="A6" s="71">
        <v>5</v>
      </c>
      <c r="B6" s="96">
        <v>45441</v>
      </c>
      <c r="C6" s="74" t="s">
        <v>379</v>
      </c>
      <c r="D6" s="74"/>
      <c r="E6" s="30" t="s">
        <v>32</v>
      </c>
      <c r="F6" s="93">
        <v>20</v>
      </c>
      <c r="G6" s="91" t="s">
        <v>13</v>
      </c>
      <c r="H6" s="91" t="s">
        <v>29</v>
      </c>
      <c r="I6" s="91" t="s">
        <v>30</v>
      </c>
      <c r="J6" s="91" t="s">
        <v>31</v>
      </c>
      <c r="K6" s="76" t="s">
        <v>33</v>
      </c>
    </row>
    <row r="7" spans="1:11" ht="99.75">
      <c r="A7" s="71">
        <v>6</v>
      </c>
      <c r="B7" s="96">
        <v>45481</v>
      </c>
      <c r="C7" s="74" t="s">
        <v>378</v>
      </c>
      <c r="D7" s="74"/>
      <c r="E7" s="30" t="s">
        <v>37</v>
      </c>
      <c r="F7" s="93">
        <v>20</v>
      </c>
      <c r="G7" s="91" t="s">
        <v>13</v>
      </c>
      <c r="H7" s="91" t="s">
        <v>34</v>
      </c>
      <c r="I7" s="91" t="s">
        <v>35</v>
      </c>
      <c r="J7" s="91" t="s">
        <v>36</v>
      </c>
      <c r="K7" s="30" t="s">
        <v>38</v>
      </c>
    </row>
    <row r="8" spans="1:11" ht="114">
      <c r="A8" s="71">
        <v>7</v>
      </c>
      <c r="B8" s="96">
        <v>45449</v>
      </c>
      <c r="C8" s="74" t="s">
        <v>379</v>
      </c>
      <c r="D8" s="74"/>
      <c r="E8" s="30" t="s">
        <v>40</v>
      </c>
      <c r="F8" s="93">
        <v>20</v>
      </c>
      <c r="G8" s="91" t="s">
        <v>39</v>
      </c>
      <c r="H8" s="91" t="s">
        <v>7</v>
      </c>
      <c r="I8" s="91" t="s">
        <v>35</v>
      </c>
      <c r="J8" s="91" t="s">
        <v>14</v>
      </c>
      <c r="K8" s="30" t="s">
        <v>41</v>
      </c>
    </row>
    <row r="9" spans="1:11" ht="71.25">
      <c r="A9" s="30">
        <v>8</v>
      </c>
      <c r="B9" s="96">
        <v>45452</v>
      </c>
      <c r="C9" s="74" t="s">
        <v>377</v>
      </c>
      <c r="D9" s="74"/>
      <c r="E9" s="30" t="s">
        <v>46</v>
      </c>
      <c r="F9" s="93">
        <v>40</v>
      </c>
      <c r="G9" s="91" t="s">
        <v>42</v>
      </c>
      <c r="H9" s="91" t="s">
        <v>43</v>
      </c>
      <c r="I9" s="91" t="s">
        <v>44</v>
      </c>
      <c r="J9" s="91" t="s">
        <v>30</v>
      </c>
      <c r="K9" s="30" t="s">
        <v>47</v>
      </c>
    </row>
    <row r="10" spans="1:11" ht="57">
      <c r="A10" s="30">
        <v>9</v>
      </c>
      <c r="B10" s="96">
        <v>45455</v>
      </c>
      <c r="C10" s="74" t="s">
        <v>375</v>
      </c>
      <c r="D10" s="74"/>
      <c r="E10" s="30" t="s">
        <v>50</v>
      </c>
      <c r="F10" s="93">
        <v>40</v>
      </c>
      <c r="G10" s="91" t="s">
        <v>48</v>
      </c>
      <c r="H10" s="91" t="s">
        <v>49</v>
      </c>
      <c r="I10" s="91" t="s">
        <v>44</v>
      </c>
      <c r="J10" s="91" t="s">
        <v>30</v>
      </c>
      <c r="K10" s="30" t="s">
        <v>51</v>
      </c>
    </row>
    <row r="11" spans="1:11" ht="71.25">
      <c r="A11" s="30">
        <v>10</v>
      </c>
      <c r="B11" s="96">
        <v>45454</v>
      </c>
      <c r="C11" s="74" t="s">
        <v>375</v>
      </c>
      <c r="D11" s="74"/>
      <c r="E11" s="30" t="s">
        <v>55</v>
      </c>
      <c r="F11" s="93">
        <v>40</v>
      </c>
      <c r="G11" s="91" t="s">
        <v>17</v>
      </c>
      <c r="H11" s="91" t="s">
        <v>52</v>
      </c>
      <c r="I11" s="91" t="s">
        <v>53</v>
      </c>
      <c r="J11" s="91" t="s">
        <v>54</v>
      </c>
      <c r="K11" s="30" t="s">
        <v>56</v>
      </c>
    </row>
    <row r="12" spans="1:11" ht="85.5">
      <c r="A12" s="30">
        <v>11</v>
      </c>
      <c r="B12" s="96">
        <v>45483</v>
      </c>
      <c r="C12" s="74" t="s">
        <v>379</v>
      </c>
      <c r="D12" s="74"/>
      <c r="E12" s="30" t="s">
        <v>60</v>
      </c>
      <c r="F12" s="93">
        <v>50</v>
      </c>
      <c r="G12" s="91" t="s">
        <v>14</v>
      </c>
      <c r="H12" s="91" t="s">
        <v>57</v>
      </c>
      <c r="I12" s="91" t="s">
        <v>36</v>
      </c>
      <c r="J12" s="91" t="s">
        <v>58</v>
      </c>
      <c r="K12" s="30" t="s">
        <v>61</v>
      </c>
    </row>
    <row r="13" spans="1:11" ht="71.25">
      <c r="A13" s="30">
        <v>12</v>
      </c>
      <c r="B13" s="96">
        <v>45448</v>
      </c>
      <c r="C13" s="74" t="s">
        <v>375</v>
      </c>
      <c r="D13" s="74"/>
      <c r="E13" s="30" t="s">
        <v>63</v>
      </c>
      <c r="F13" s="93">
        <v>40</v>
      </c>
      <c r="G13" s="91" t="s">
        <v>14</v>
      </c>
      <c r="H13" s="91" t="s">
        <v>57</v>
      </c>
      <c r="I13" s="91" t="s">
        <v>6</v>
      </c>
      <c r="J13" s="91" t="s">
        <v>62</v>
      </c>
      <c r="K13" s="30" t="s">
        <v>64</v>
      </c>
    </row>
    <row r="14" spans="1:11" ht="42.75">
      <c r="A14" s="30">
        <v>13</v>
      </c>
      <c r="B14" s="96">
        <v>45516</v>
      </c>
      <c r="C14" s="74" t="s">
        <v>378</v>
      </c>
      <c r="D14" s="74"/>
      <c r="E14" s="30" t="s">
        <v>69</v>
      </c>
      <c r="F14" s="93">
        <v>20</v>
      </c>
      <c r="G14" s="91" t="s">
        <v>65</v>
      </c>
      <c r="H14" s="91" t="s">
        <v>44</v>
      </c>
      <c r="I14" s="91" t="s">
        <v>66</v>
      </c>
      <c r="J14" s="91" t="s">
        <v>67</v>
      </c>
      <c r="K14" s="30" t="s">
        <v>70</v>
      </c>
    </row>
    <row r="15" spans="1:11" ht="42.75">
      <c r="A15" s="30">
        <v>14</v>
      </c>
      <c r="B15" s="96">
        <v>45487</v>
      </c>
      <c r="C15" s="74" t="s">
        <v>378</v>
      </c>
      <c r="D15" s="74"/>
      <c r="E15" s="30" t="s">
        <v>73</v>
      </c>
      <c r="F15" s="93">
        <v>20</v>
      </c>
      <c r="G15" s="91" t="s">
        <v>71</v>
      </c>
      <c r="H15" s="91" t="s">
        <v>72</v>
      </c>
      <c r="I15" s="91" t="s">
        <v>36</v>
      </c>
      <c r="J15" s="91" t="s">
        <v>66</v>
      </c>
      <c r="K15" s="30" t="s">
        <v>74</v>
      </c>
    </row>
    <row r="16" spans="1:11" ht="71.25">
      <c r="A16" s="30">
        <v>15</v>
      </c>
      <c r="B16" s="96">
        <v>45489</v>
      </c>
      <c r="C16" s="74" t="s">
        <v>378</v>
      </c>
      <c r="D16" s="74"/>
      <c r="E16" s="30" t="s">
        <v>76</v>
      </c>
      <c r="F16" s="93">
        <v>40</v>
      </c>
      <c r="G16" s="91" t="s">
        <v>75</v>
      </c>
      <c r="H16" s="91" t="s">
        <v>7</v>
      </c>
      <c r="I16" s="91" t="s">
        <v>13</v>
      </c>
      <c r="J16" s="91" t="s">
        <v>62</v>
      </c>
      <c r="K16" s="30" t="s">
        <v>77</v>
      </c>
    </row>
    <row r="17" spans="1:11" ht="57">
      <c r="A17" s="30">
        <v>16</v>
      </c>
      <c r="B17" s="96">
        <v>45495</v>
      </c>
      <c r="C17" s="74" t="s">
        <v>378</v>
      </c>
      <c r="D17" s="74"/>
      <c r="E17" s="30" t="s">
        <v>80</v>
      </c>
      <c r="F17" s="93">
        <v>20</v>
      </c>
      <c r="G17" s="91" t="s">
        <v>78</v>
      </c>
      <c r="H17" s="91" t="s">
        <v>79</v>
      </c>
      <c r="I17" s="91" t="s">
        <v>36</v>
      </c>
      <c r="J17" s="91" t="s">
        <v>67</v>
      </c>
      <c r="K17" s="30" t="s">
        <v>81</v>
      </c>
    </row>
    <row r="18" spans="1:11" ht="71.25">
      <c r="A18" s="30">
        <v>17</v>
      </c>
      <c r="B18" s="96">
        <v>45494</v>
      </c>
      <c r="C18" s="74" t="s">
        <v>378</v>
      </c>
      <c r="D18" s="74"/>
      <c r="E18" s="30" t="s">
        <v>83</v>
      </c>
      <c r="F18" s="93">
        <v>40</v>
      </c>
      <c r="G18" s="91" t="s">
        <v>48</v>
      </c>
      <c r="H18" s="91" t="s">
        <v>79</v>
      </c>
      <c r="I18" s="91" t="s">
        <v>13</v>
      </c>
      <c r="J18" s="91" t="s">
        <v>19</v>
      </c>
      <c r="K18" s="30" t="s">
        <v>84</v>
      </c>
    </row>
    <row r="19" spans="1:11" ht="85.5">
      <c r="A19" s="30">
        <v>18</v>
      </c>
      <c r="B19" s="96">
        <v>45487</v>
      </c>
      <c r="C19" s="74" t="s">
        <v>378</v>
      </c>
      <c r="D19" s="74"/>
      <c r="E19" s="30" t="s">
        <v>86</v>
      </c>
      <c r="F19" s="93">
        <v>40</v>
      </c>
      <c r="G19" s="91" t="s">
        <v>31</v>
      </c>
      <c r="H19" s="91" t="s">
        <v>5</v>
      </c>
      <c r="I19" s="91" t="s">
        <v>85</v>
      </c>
      <c r="J19" s="91" t="s">
        <v>24</v>
      </c>
      <c r="K19" s="30" t="s">
        <v>87</v>
      </c>
    </row>
    <row r="20" spans="1:11" ht="57">
      <c r="A20" s="30">
        <v>19</v>
      </c>
      <c r="B20" s="96">
        <v>45488</v>
      </c>
      <c r="C20" s="74" t="s">
        <v>378</v>
      </c>
      <c r="D20" s="74"/>
      <c r="E20" s="30" t="s">
        <v>90</v>
      </c>
      <c r="F20" s="93">
        <v>20</v>
      </c>
      <c r="G20" s="91" t="s">
        <v>88</v>
      </c>
      <c r="H20" s="91" t="s">
        <v>89</v>
      </c>
      <c r="I20" s="91" t="s">
        <v>25</v>
      </c>
      <c r="J20" s="91" t="s">
        <v>5</v>
      </c>
      <c r="K20" s="30" t="s">
        <v>91</v>
      </c>
    </row>
    <row r="21" spans="1:11" ht="42.75">
      <c r="A21" s="30">
        <v>20</v>
      </c>
      <c r="B21" s="96">
        <v>45497</v>
      </c>
      <c r="C21" s="74" t="s">
        <v>378</v>
      </c>
      <c r="D21" s="74"/>
      <c r="E21" s="30" t="s">
        <v>95</v>
      </c>
      <c r="F21" s="93">
        <v>20</v>
      </c>
      <c r="G21" s="91" t="s">
        <v>29</v>
      </c>
      <c r="H21" s="91" t="s">
        <v>92</v>
      </c>
      <c r="I21" s="91" t="s">
        <v>93</v>
      </c>
      <c r="J21" s="91" t="s">
        <v>94</v>
      </c>
      <c r="K21" s="30" t="s">
        <v>96</v>
      </c>
    </row>
    <row r="22" spans="1:11" ht="85.5">
      <c r="A22" s="30">
        <v>21</v>
      </c>
      <c r="B22" s="96">
        <v>45498</v>
      </c>
      <c r="C22" s="74" t="s">
        <v>378</v>
      </c>
      <c r="D22" s="74"/>
      <c r="E22" s="30" t="s">
        <v>98</v>
      </c>
      <c r="F22" s="93">
        <v>20</v>
      </c>
      <c r="G22" s="91" t="s">
        <v>97</v>
      </c>
      <c r="H22" s="91" t="s">
        <v>26</v>
      </c>
      <c r="I22" s="91" t="s">
        <v>36</v>
      </c>
      <c r="J22" s="91" t="s">
        <v>13</v>
      </c>
      <c r="K22" s="30" t="s">
        <v>99</v>
      </c>
    </row>
    <row r="23" spans="1:11" ht="85.5">
      <c r="A23" s="30">
        <v>22</v>
      </c>
      <c r="B23" s="96">
        <v>45508</v>
      </c>
      <c r="C23" s="74" t="s">
        <v>378</v>
      </c>
      <c r="D23" s="74"/>
      <c r="E23" s="30" t="s">
        <v>102</v>
      </c>
      <c r="F23" s="93">
        <v>40</v>
      </c>
      <c r="G23" s="91" t="s">
        <v>57</v>
      </c>
      <c r="H23" s="91" t="s">
        <v>24</v>
      </c>
      <c r="I23" s="91" t="s">
        <v>14</v>
      </c>
      <c r="J23" s="91" t="s">
        <v>100</v>
      </c>
      <c r="K23" s="30" t="s">
        <v>103</v>
      </c>
    </row>
    <row r="24" spans="1:11" ht="42.75">
      <c r="A24" s="30">
        <v>23</v>
      </c>
      <c r="B24" s="96">
        <v>45510</v>
      </c>
      <c r="C24" s="74" t="s">
        <v>378</v>
      </c>
      <c r="D24" s="74"/>
      <c r="E24" s="30" t="s">
        <v>105</v>
      </c>
      <c r="F24" s="93">
        <v>40</v>
      </c>
      <c r="G24" s="91" t="s">
        <v>26</v>
      </c>
      <c r="H24" s="91" t="s">
        <v>104</v>
      </c>
      <c r="I24" s="91" t="s">
        <v>35</v>
      </c>
      <c r="J24" s="91" t="s">
        <v>62</v>
      </c>
      <c r="K24" s="30" t="s">
        <v>106</v>
      </c>
    </row>
    <row r="25" spans="1:11" ht="99.75">
      <c r="A25" s="30">
        <v>24</v>
      </c>
      <c r="B25" s="96">
        <v>45511</v>
      </c>
      <c r="C25" s="28" t="s">
        <v>378</v>
      </c>
      <c r="D25" s="28"/>
      <c r="E25" s="30" t="s">
        <v>107</v>
      </c>
      <c r="F25" s="93">
        <v>40</v>
      </c>
      <c r="G25" s="91" t="s">
        <v>31</v>
      </c>
      <c r="H25" s="91" t="s">
        <v>19</v>
      </c>
      <c r="I25" s="91" t="s">
        <v>36</v>
      </c>
      <c r="J25" s="91" t="s">
        <v>65</v>
      </c>
      <c r="K25" s="30" t="s">
        <v>108</v>
      </c>
    </row>
    <row r="26" spans="1:11" ht="128.25">
      <c r="A26" s="30">
        <v>25</v>
      </c>
      <c r="B26" s="96">
        <v>45540</v>
      </c>
      <c r="C26" s="74" t="s">
        <v>378</v>
      </c>
      <c r="D26" s="74"/>
      <c r="E26" s="30" t="s">
        <v>112</v>
      </c>
      <c r="F26" s="93">
        <v>30</v>
      </c>
      <c r="G26" s="91" t="s">
        <v>11</v>
      </c>
      <c r="H26" s="91" t="s">
        <v>109</v>
      </c>
      <c r="I26" s="91" t="s">
        <v>31</v>
      </c>
      <c r="J26" s="91" t="s">
        <v>110</v>
      </c>
      <c r="K26" s="30" t="s">
        <v>113</v>
      </c>
    </row>
    <row r="27" spans="1:11" ht="57">
      <c r="A27" s="30">
        <v>26</v>
      </c>
      <c r="B27" s="96">
        <v>45523</v>
      </c>
      <c r="C27" s="74" t="s">
        <v>378</v>
      </c>
      <c r="D27" s="74"/>
      <c r="E27" s="30" t="s">
        <v>117</v>
      </c>
      <c r="F27" s="93">
        <v>20</v>
      </c>
      <c r="G27" s="91" t="s">
        <v>114</v>
      </c>
      <c r="H27" s="91" t="s">
        <v>42</v>
      </c>
      <c r="I27" s="91" t="s">
        <v>115</v>
      </c>
      <c r="J27" s="91" t="s">
        <v>116</v>
      </c>
      <c r="K27" s="30" t="s">
        <v>118</v>
      </c>
    </row>
    <row r="28" spans="1:11" ht="85.5">
      <c r="A28" s="30">
        <v>27</v>
      </c>
      <c r="B28" s="96">
        <v>45557</v>
      </c>
      <c r="C28" s="74" t="s">
        <v>378</v>
      </c>
      <c r="D28" s="74"/>
      <c r="E28" s="30" t="s">
        <v>120</v>
      </c>
      <c r="F28" s="93">
        <v>20</v>
      </c>
      <c r="G28" s="91" t="s">
        <v>89</v>
      </c>
      <c r="H28" s="91" t="s">
        <v>119</v>
      </c>
      <c r="I28" s="91" t="s">
        <v>85</v>
      </c>
      <c r="J28" s="91" t="s">
        <v>5</v>
      </c>
      <c r="K28" s="30" t="s">
        <v>121</v>
      </c>
    </row>
    <row r="29" spans="1:11" ht="85.5">
      <c r="A29" s="30">
        <v>28</v>
      </c>
      <c r="B29" s="96">
        <v>45524</v>
      </c>
      <c r="C29" s="74" t="s">
        <v>378</v>
      </c>
      <c r="D29" s="74"/>
      <c r="E29" s="30" t="s">
        <v>123</v>
      </c>
      <c r="F29" s="93">
        <v>20</v>
      </c>
      <c r="G29" s="91" t="s">
        <v>17</v>
      </c>
      <c r="H29" s="91" t="s">
        <v>78</v>
      </c>
      <c r="I29" s="91" t="s">
        <v>122</v>
      </c>
      <c r="J29" s="91" t="s">
        <v>18</v>
      </c>
      <c r="K29" s="30" t="s">
        <v>124</v>
      </c>
    </row>
    <row r="30" spans="1:11" ht="71.25">
      <c r="A30" s="30">
        <v>29</v>
      </c>
      <c r="B30" s="96">
        <v>45544</v>
      </c>
      <c r="C30" s="74" t="s">
        <v>378</v>
      </c>
      <c r="D30" s="74"/>
      <c r="E30" s="30" t="s">
        <v>126</v>
      </c>
      <c r="F30" s="93">
        <v>20</v>
      </c>
      <c r="G30" s="91" t="s">
        <v>66</v>
      </c>
      <c r="H30" s="91" t="s">
        <v>125</v>
      </c>
      <c r="I30" s="91" t="s">
        <v>94</v>
      </c>
      <c r="J30" s="91" t="s">
        <v>29</v>
      </c>
      <c r="K30" s="30" t="s">
        <v>127</v>
      </c>
    </row>
    <row r="31" spans="1:11" ht="71.25">
      <c r="A31" s="30">
        <v>30</v>
      </c>
      <c r="B31" s="96">
        <v>45529</v>
      </c>
      <c r="C31" s="74" t="s">
        <v>378</v>
      </c>
      <c r="D31" s="74"/>
      <c r="E31" s="30" t="s">
        <v>129</v>
      </c>
      <c r="F31" s="93">
        <v>30</v>
      </c>
      <c r="G31" s="91" t="s">
        <v>100</v>
      </c>
      <c r="H31" s="91" t="s">
        <v>128</v>
      </c>
      <c r="I31" s="91" t="s">
        <v>39</v>
      </c>
      <c r="J31" s="91" t="s">
        <v>35</v>
      </c>
      <c r="K31" s="30" t="s">
        <v>130</v>
      </c>
    </row>
    <row r="32" spans="1:11" ht="85.5">
      <c r="A32" s="30">
        <v>31</v>
      </c>
      <c r="B32" s="96">
        <v>45529</v>
      </c>
      <c r="C32" s="74" t="s">
        <v>378</v>
      </c>
      <c r="D32" s="74"/>
      <c r="E32" s="30" t="s">
        <v>134</v>
      </c>
      <c r="F32" s="93">
        <v>30</v>
      </c>
      <c r="G32" s="91" t="s">
        <v>131</v>
      </c>
      <c r="H32" s="91" t="s">
        <v>132</v>
      </c>
      <c r="I32" s="91" t="s">
        <v>93</v>
      </c>
      <c r="J32" s="91" t="s">
        <v>133</v>
      </c>
      <c r="K32" s="30" t="s">
        <v>135</v>
      </c>
    </row>
    <row r="33" spans="1:11" ht="57">
      <c r="A33" s="30">
        <v>32</v>
      </c>
      <c r="B33" s="96">
        <v>45530</v>
      </c>
      <c r="C33" s="74" t="s">
        <v>378</v>
      </c>
      <c r="D33" s="74"/>
      <c r="E33" s="30" t="s">
        <v>137</v>
      </c>
      <c r="F33" s="93">
        <v>30</v>
      </c>
      <c r="G33" s="91" t="s">
        <v>29</v>
      </c>
      <c r="H33" s="91" t="s">
        <v>136</v>
      </c>
      <c r="I33" s="91" t="s">
        <v>97</v>
      </c>
      <c r="J33" s="91" t="s">
        <v>19</v>
      </c>
      <c r="K33" s="30" t="s">
        <v>138</v>
      </c>
    </row>
    <row r="34" spans="1:11" ht="71.25">
      <c r="A34" s="30">
        <v>33</v>
      </c>
      <c r="B34" s="96">
        <v>45509</v>
      </c>
      <c r="C34" s="74" t="s">
        <v>377</v>
      </c>
      <c r="D34" s="74"/>
      <c r="E34" s="30" t="s">
        <v>139</v>
      </c>
      <c r="F34" s="93">
        <v>40</v>
      </c>
      <c r="G34" s="91" t="s">
        <v>66</v>
      </c>
      <c r="H34" s="91"/>
      <c r="I34" s="91" t="s">
        <v>67</v>
      </c>
      <c r="J34" s="91" t="s">
        <v>18</v>
      </c>
      <c r="K34" s="30" t="s">
        <v>140</v>
      </c>
    </row>
    <row r="35" spans="1:11" ht="57">
      <c r="A35" s="30">
        <v>34</v>
      </c>
      <c r="B35" s="96">
        <v>45517</v>
      </c>
      <c r="C35" s="74" t="s">
        <v>378</v>
      </c>
      <c r="D35" s="74"/>
      <c r="E35" s="30" t="s">
        <v>142</v>
      </c>
      <c r="F35" s="93">
        <v>40</v>
      </c>
      <c r="G35" s="91" t="s">
        <v>5</v>
      </c>
      <c r="H35" s="91" t="s">
        <v>141</v>
      </c>
      <c r="I35" s="91" t="s">
        <v>24</v>
      </c>
      <c r="J35" s="91" t="s">
        <v>89</v>
      </c>
      <c r="K35" s="30" t="s">
        <v>143</v>
      </c>
    </row>
    <row r="36" spans="1:11" ht="57">
      <c r="A36" s="30">
        <v>35</v>
      </c>
      <c r="B36" s="96">
        <v>45516</v>
      </c>
      <c r="C36" s="74" t="s">
        <v>377</v>
      </c>
      <c r="D36" s="74"/>
      <c r="E36" s="71" t="s">
        <v>145</v>
      </c>
      <c r="F36" s="93">
        <v>40</v>
      </c>
      <c r="G36" s="91" t="s">
        <v>144</v>
      </c>
      <c r="H36" s="91" t="s">
        <v>42</v>
      </c>
      <c r="I36" s="91" t="s">
        <v>65</v>
      </c>
      <c r="J36" s="91" t="s">
        <v>36</v>
      </c>
      <c r="K36" s="30" t="s">
        <v>146</v>
      </c>
    </row>
    <row r="37" spans="1:11" ht="71.25">
      <c r="A37" s="30">
        <v>36</v>
      </c>
      <c r="B37" s="96">
        <v>45586</v>
      </c>
      <c r="C37" s="74" t="s">
        <v>378</v>
      </c>
      <c r="D37" s="74"/>
      <c r="E37" s="30" t="s">
        <v>147</v>
      </c>
      <c r="F37" s="93">
        <v>40</v>
      </c>
      <c r="G37" s="91" t="s">
        <v>4</v>
      </c>
      <c r="H37" s="91" t="s">
        <v>18</v>
      </c>
      <c r="I37" s="91" t="s">
        <v>36</v>
      </c>
      <c r="J37" s="91" t="s">
        <v>58</v>
      </c>
      <c r="K37" s="30" t="s">
        <v>148</v>
      </c>
    </row>
    <row r="38" spans="1:11" ht="71.25">
      <c r="A38" s="30">
        <v>37</v>
      </c>
      <c r="B38" s="96">
        <v>45545</v>
      </c>
      <c r="C38" s="74" t="s">
        <v>378</v>
      </c>
      <c r="D38" s="74"/>
      <c r="E38" s="71" t="s">
        <v>149</v>
      </c>
      <c r="F38" s="93">
        <v>40</v>
      </c>
      <c r="G38" s="91" t="s">
        <v>71</v>
      </c>
      <c r="H38" s="91" t="s">
        <v>19</v>
      </c>
      <c r="I38" s="91" t="s">
        <v>36</v>
      </c>
      <c r="J38" s="91" t="s">
        <v>62</v>
      </c>
      <c r="K38" s="30" t="s">
        <v>150</v>
      </c>
    </row>
    <row r="39" spans="1:11" ht="71.25">
      <c r="A39" s="30">
        <v>39</v>
      </c>
      <c r="B39" s="96">
        <v>45539</v>
      </c>
      <c r="C39" s="74" t="s">
        <v>379</v>
      </c>
      <c r="D39" s="74"/>
      <c r="E39" s="30" t="s">
        <v>156</v>
      </c>
      <c r="F39" s="93">
        <v>40</v>
      </c>
      <c r="G39" s="91" t="s">
        <v>155</v>
      </c>
      <c r="H39" s="91" t="s">
        <v>75</v>
      </c>
      <c r="I39" s="91" t="s">
        <v>25</v>
      </c>
      <c r="J39" s="91" t="s">
        <v>85</v>
      </c>
      <c r="K39" s="30" t="s">
        <v>157</v>
      </c>
    </row>
    <row r="40" spans="1:11" ht="57">
      <c r="A40" s="30">
        <v>40</v>
      </c>
      <c r="B40" s="96">
        <v>45567</v>
      </c>
      <c r="C40" s="74" t="s">
        <v>378</v>
      </c>
      <c r="D40" s="74"/>
      <c r="E40" s="30" t="s">
        <v>158</v>
      </c>
      <c r="F40" s="93">
        <v>20</v>
      </c>
      <c r="G40" s="91" t="s">
        <v>17</v>
      </c>
      <c r="H40" s="91" t="s">
        <v>136</v>
      </c>
      <c r="I40" s="91" t="s">
        <v>78</v>
      </c>
      <c r="J40" s="91" t="s">
        <v>19</v>
      </c>
      <c r="K40" s="30" t="s">
        <v>159</v>
      </c>
    </row>
    <row r="41" spans="1:11" ht="57">
      <c r="A41" s="30">
        <v>41</v>
      </c>
      <c r="B41" s="96">
        <v>45561</v>
      </c>
      <c r="C41" s="74" t="s">
        <v>378</v>
      </c>
      <c r="D41" s="74"/>
      <c r="E41" s="30" t="s">
        <v>160</v>
      </c>
      <c r="F41" s="93">
        <v>20</v>
      </c>
      <c r="G41" s="91" t="s">
        <v>66</v>
      </c>
      <c r="H41" s="91" t="s">
        <v>72</v>
      </c>
      <c r="I41" s="91" t="s">
        <v>35</v>
      </c>
      <c r="J41" s="91" t="s">
        <v>30</v>
      </c>
      <c r="K41" s="30" t="s">
        <v>161</v>
      </c>
    </row>
    <row r="42" spans="1:11" ht="57">
      <c r="A42" s="30">
        <v>42</v>
      </c>
      <c r="B42" s="96">
        <v>45616</v>
      </c>
      <c r="C42" s="74" t="s">
        <v>378</v>
      </c>
      <c r="D42" s="74"/>
      <c r="E42" s="30" t="s">
        <v>163</v>
      </c>
      <c r="F42" s="93">
        <v>20</v>
      </c>
      <c r="G42" s="91" t="s">
        <v>89</v>
      </c>
      <c r="H42" s="91" t="s">
        <v>141</v>
      </c>
      <c r="I42" s="91" t="s">
        <v>162</v>
      </c>
      <c r="J42" s="91" t="s">
        <v>85</v>
      </c>
      <c r="K42" s="30" t="s">
        <v>164</v>
      </c>
    </row>
    <row r="43" spans="1:11" ht="57">
      <c r="A43" s="30">
        <v>43</v>
      </c>
      <c r="B43" s="96">
        <v>45579</v>
      </c>
      <c r="C43" s="74" t="s">
        <v>378</v>
      </c>
      <c r="D43" s="74"/>
      <c r="E43" s="30" t="s">
        <v>166</v>
      </c>
      <c r="F43" s="93">
        <v>40</v>
      </c>
      <c r="G43" s="91" t="s">
        <v>75</v>
      </c>
      <c r="H43" s="91" t="s">
        <v>165</v>
      </c>
      <c r="I43" s="91" t="s">
        <v>13</v>
      </c>
      <c r="J43" s="91" t="s">
        <v>57</v>
      </c>
      <c r="K43" s="30" t="s">
        <v>167</v>
      </c>
    </row>
    <row r="44" spans="1:11" ht="85.5">
      <c r="A44" s="30">
        <v>44</v>
      </c>
      <c r="B44" s="96">
        <v>45582</v>
      </c>
      <c r="C44" s="74" t="s">
        <v>378</v>
      </c>
      <c r="D44" s="74"/>
      <c r="E44" s="30" t="s">
        <v>169</v>
      </c>
      <c r="F44" s="93">
        <v>20</v>
      </c>
      <c r="G44" s="91" t="s">
        <v>144</v>
      </c>
      <c r="H44" s="91" t="s">
        <v>168</v>
      </c>
      <c r="I44" s="91" t="s">
        <v>54</v>
      </c>
      <c r="J44" s="91" t="s">
        <v>7</v>
      </c>
      <c r="K44" s="30" t="s">
        <v>170</v>
      </c>
    </row>
    <row r="45" spans="1:11" ht="42.75">
      <c r="A45" s="30">
        <v>45</v>
      </c>
      <c r="B45" s="96">
        <v>45588</v>
      </c>
      <c r="C45" s="74" t="s">
        <v>378</v>
      </c>
      <c r="D45" s="74"/>
      <c r="E45" s="30" t="s">
        <v>73</v>
      </c>
      <c r="F45" s="93">
        <v>40</v>
      </c>
      <c r="G45" s="91" t="s">
        <v>71</v>
      </c>
      <c r="H45" s="91" t="s">
        <v>72</v>
      </c>
      <c r="I45" s="91" t="s">
        <v>36</v>
      </c>
      <c r="J45" s="91" t="s">
        <v>66</v>
      </c>
      <c r="K45" s="30" t="s">
        <v>74</v>
      </c>
    </row>
    <row r="46" spans="1:11" ht="42.75">
      <c r="A46" s="30">
        <v>46</v>
      </c>
      <c r="B46" s="96">
        <v>45606</v>
      </c>
      <c r="C46" s="74" t="s">
        <v>378</v>
      </c>
      <c r="D46" s="74"/>
      <c r="E46" s="30" t="s">
        <v>173</v>
      </c>
      <c r="F46" s="93">
        <v>40</v>
      </c>
      <c r="G46" s="91" t="s">
        <v>39</v>
      </c>
      <c r="H46" s="91" t="s">
        <v>171</v>
      </c>
      <c r="I46" s="91" t="s">
        <v>172</v>
      </c>
      <c r="J46" s="91" t="s">
        <v>53</v>
      </c>
      <c r="K46" s="30" t="s">
        <v>174</v>
      </c>
    </row>
    <row r="47" spans="1:11" ht="57">
      <c r="A47" s="30">
        <v>47</v>
      </c>
      <c r="B47" s="96">
        <v>45607</v>
      </c>
      <c r="C47" s="74" t="s">
        <v>378</v>
      </c>
      <c r="D47" s="74"/>
      <c r="E47" s="30" t="s">
        <v>175</v>
      </c>
      <c r="F47" s="93">
        <v>20</v>
      </c>
      <c r="G47" s="91" t="s">
        <v>53</v>
      </c>
      <c r="H47" s="91" t="s">
        <v>24</v>
      </c>
      <c r="I47" s="91" t="s">
        <v>75</v>
      </c>
      <c r="J47" s="91" t="s">
        <v>26</v>
      </c>
      <c r="K47" s="30" t="s">
        <v>176</v>
      </c>
    </row>
    <row r="48" spans="1:11" ht="71.25">
      <c r="A48" s="30">
        <v>48</v>
      </c>
      <c r="B48" s="96">
        <v>45624</v>
      </c>
      <c r="C48" s="74" t="s">
        <v>378</v>
      </c>
      <c r="D48" s="74"/>
      <c r="E48" s="30" t="s">
        <v>177</v>
      </c>
      <c r="F48" s="93">
        <v>20</v>
      </c>
      <c r="G48" s="91" t="s">
        <v>11</v>
      </c>
      <c r="H48" s="91" t="s">
        <v>12</v>
      </c>
      <c r="I48" s="91" t="s">
        <v>75</v>
      </c>
      <c r="J48" s="91" t="s">
        <v>62</v>
      </c>
      <c r="K48" s="30" t="s">
        <v>178</v>
      </c>
    </row>
    <row r="49" spans="1:11" ht="85.5">
      <c r="A49" s="30">
        <v>49</v>
      </c>
      <c r="B49" s="96">
        <v>45622</v>
      </c>
      <c r="C49" s="74" t="s">
        <v>377</v>
      </c>
      <c r="D49" s="74"/>
      <c r="E49" s="30" t="s">
        <v>180</v>
      </c>
      <c r="F49" s="93">
        <v>20</v>
      </c>
      <c r="G49" s="91" t="s">
        <v>78</v>
      </c>
      <c r="H49" s="90" t="s">
        <v>179</v>
      </c>
      <c r="I49" s="91" t="s">
        <v>172</v>
      </c>
      <c r="J49" s="91" t="s">
        <v>26</v>
      </c>
      <c r="K49" s="30" t="s">
        <v>181</v>
      </c>
    </row>
    <row r="50" spans="1:11" ht="71.25">
      <c r="A50" s="30">
        <v>50</v>
      </c>
      <c r="B50" s="96">
        <v>45606</v>
      </c>
      <c r="C50" s="74" t="s">
        <v>375</v>
      </c>
      <c r="D50" s="74"/>
      <c r="E50" s="30" t="s">
        <v>182</v>
      </c>
      <c r="F50" s="93">
        <v>40</v>
      </c>
      <c r="G50" s="91" t="s">
        <v>39</v>
      </c>
      <c r="H50" s="91" t="s">
        <v>171</v>
      </c>
      <c r="I50" s="91" t="s">
        <v>53</v>
      </c>
      <c r="J50" s="91" t="s">
        <v>93</v>
      </c>
      <c r="K50" s="30" t="s">
        <v>183</v>
      </c>
    </row>
    <row r="51" spans="1:11" ht="57">
      <c r="A51" s="30">
        <v>51</v>
      </c>
      <c r="B51" s="96">
        <v>45650</v>
      </c>
      <c r="C51" s="74" t="s">
        <v>377</v>
      </c>
      <c r="D51" s="74"/>
      <c r="E51" s="76" t="s">
        <v>184</v>
      </c>
      <c r="F51" s="93">
        <v>20</v>
      </c>
      <c r="G51" s="91" t="s">
        <v>18</v>
      </c>
      <c r="H51" s="91" t="s">
        <v>92</v>
      </c>
      <c r="I51" s="91" t="s">
        <v>67</v>
      </c>
      <c r="J51" s="91" t="s">
        <v>19</v>
      </c>
      <c r="K51" s="76" t="s">
        <v>185</v>
      </c>
    </row>
    <row r="52" spans="1:11" ht="71.25">
      <c r="A52" s="30">
        <v>52</v>
      </c>
      <c r="B52" s="96">
        <v>45649</v>
      </c>
      <c r="C52" s="74" t="s">
        <v>377</v>
      </c>
      <c r="D52" s="74"/>
      <c r="E52" s="30" t="s">
        <v>187</v>
      </c>
      <c r="F52" s="93">
        <v>20</v>
      </c>
      <c r="G52" s="91" t="s">
        <v>7</v>
      </c>
      <c r="H52" s="91" t="s">
        <v>171</v>
      </c>
      <c r="I52" s="91" t="s">
        <v>14</v>
      </c>
      <c r="J52" s="91" t="s">
        <v>186</v>
      </c>
      <c r="K52" s="76" t="s">
        <v>188</v>
      </c>
    </row>
    <row r="53" spans="1:11" ht="85.5">
      <c r="A53" s="30">
        <v>53</v>
      </c>
      <c r="B53" s="96">
        <v>45662</v>
      </c>
      <c r="C53" s="74" t="s">
        <v>377</v>
      </c>
      <c r="D53" s="74"/>
      <c r="E53" s="30" t="s">
        <v>189</v>
      </c>
      <c r="F53" s="93">
        <v>30</v>
      </c>
      <c r="G53" s="91" t="s">
        <v>186</v>
      </c>
      <c r="H53" s="91" t="s">
        <v>48</v>
      </c>
      <c r="I53" s="91" t="s">
        <v>122</v>
      </c>
      <c r="J53" s="91" t="s">
        <v>7</v>
      </c>
      <c r="K53" s="76" t="s">
        <v>190</v>
      </c>
    </row>
    <row r="54" spans="1:11" ht="42.75">
      <c r="A54" s="30">
        <v>54</v>
      </c>
      <c r="B54" s="96">
        <v>45631</v>
      </c>
      <c r="C54" s="74" t="s">
        <v>378</v>
      </c>
      <c r="D54" s="74"/>
      <c r="E54" s="30" t="s">
        <v>192</v>
      </c>
      <c r="F54" s="93">
        <v>40</v>
      </c>
      <c r="G54" s="91" t="s">
        <v>191</v>
      </c>
      <c r="H54" s="91"/>
      <c r="I54" s="91" t="s">
        <v>172</v>
      </c>
      <c r="J54" s="91" t="s">
        <v>25</v>
      </c>
      <c r="K54" s="30" t="s">
        <v>193</v>
      </c>
    </row>
    <row r="55" spans="1:11" ht="57">
      <c r="A55" s="30">
        <v>55</v>
      </c>
      <c r="B55" s="96">
        <v>45657</v>
      </c>
      <c r="C55" s="74" t="s">
        <v>377</v>
      </c>
      <c r="D55" s="74"/>
      <c r="E55" s="30" t="s">
        <v>195</v>
      </c>
      <c r="F55" s="93">
        <v>40</v>
      </c>
      <c r="G55" s="91" t="s">
        <v>194</v>
      </c>
      <c r="H55" s="91"/>
      <c r="I55" s="91" t="s">
        <v>26</v>
      </c>
      <c r="J55" s="91" t="s">
        <v>13</v>
      </c>
      <c r="K55" s="30" t="s">
        <v>196</v>
      </c>
    </row>
    <row r="56" spans="1:11" ht="57">
      <c r="A56" s="30">
        <v>56</v>
      </c>
      <c r="B56" s="96">
        <v>45678</v>
      </c>
      <c r="C56" s="74" t="s">
        <v>378</v>
      </c>
      <c r="D56" s="74"/>
      <c r="E56" s="30" t="s">
        <v>197</v>
      </c>
      <c r="F56" s="93">
        <v>20</v>
      </c>
      <c r="G56" s="91" t="s">
        <v>162</v>
      </c>
      <c r="H56" s="91" t="s">
        <v>171</v>
      </c>
      <c r="I56" s="91" t="s">
        <v>13</v>
      </c>
      <c r="J56" s="91" t="s">
        <v>17</v>
      </c>
      <c r="K56" s="30" t="s">
        <v>198</v>
      </c>
    </row>
    <row r="57" spans="1:11" ht="71.25">
      <c r="A57" s="30">
        <v>57</v>
      </c>
      <c r="B57" s="96">
        <v>45704</v>
      </c>
      <c r="C57" s="74" t="s">
        <v>376</v>
      </c>
      <c r="D57" s="74"/>
      <c r="E57" s="30" t="s">
        <v>199</v>
      </c>
      <c r="F57" s="93">
        <v>40</v>
      </c>
      <c r="G57" s="91" t="s">
        <v>17</v>
      </c>
      <c r="H57" s="91" t="s">
        <v>92</v>
      </c>
      <c r="I57" s="91" t="s">
        <v>155</v>
      </c>
      <c r="J57" s="91" t="s">
        <v>5</v>
      </c>
      <c r="K57" s="30" t="s">
        <v>200</v>
      </c>
    </row>
    <row r="58" spans="1:11" ht="42.75">
      <c r="A58" s="30">
        <v>58</v>
      </c>
      <c r="B58" s="96">
        <v>45736</v>
      </c>
      <c r="C58" s="74" t="s">
        <v>378</v>
      </c>
      <c r="D58" s="74"/>
      <c r="E58" s="30" t="s">
        <v>201</v>
      </c>
      <c r="F58" s="93">
        <v>20</v>
      </c>
      <c r="G58" s="91" t="s">
        <v>109</v>
      </c>
      <c r="H58" s="90" t="s">
        <v>179</v>
      </c>
      <c r="I58" s="91" t="s">
        <v>17</v>
      </c>
      <c r="J58" s="91" t="s">
        <v>94</v>
      </c>
      <c r="K58" s="30" t="s">
        <v>202</v>
      </c>
    </row>
    <row r="59" spans="1:11" ht="42.75">
      <c r="A59" s="30">
        <v>59</v>
      </c>
      <c r="B59" s="96">
        <v>45729</v>
      </c>
      <c r="C59" s="74" t="s">
        <v>378</v>
      </c>
      <c r="D59" s="74"/>
      <c r="E59" s="30" t="s">
        <v>203</v>
      </c>
      <c r="F59" s="93">
        <v>20</v>
      </c>
      <c r="G59" s="91" t="s">
        <v>93</v>
      </c>
      <c r="H59" s="91" t="s">
        <v>72</v>
      </c>
      <c r="I59" s="91" t="s">
        <v>14</v>
      </c>
      <c r="J59" s="91" t="s">
        <v>186</v>
      </c>
      <c r="K59" s="30" t="s">
        <v>204</v>
      </c>
    </row>
    <row r="60" spans="1:11" ht="85.5">
      <c r="A60" s="30">
        <v>60</v>
      </c>
      <c r="B60" s="96">
        <v>45725</v>
      </c>
      <c r="C60" s="74" t="s">
        <v>378</v>
      </c>
      <c r="D60" s="74"/>
      <c r="E60" s="30" t="s">
        <v>207</v>
      </c>
      <c r="F60" s="93">
        <v>20</v>
      </c>
      <c r="G60" s="91" t="s">
        <v>205</v>
      </c>
      <c r="H60" s="91" t="s">
        <v>92</v>
      </c>
      <c r="I60" s="91" t="s">
        <v>93</v>
      </c>
      <c r="J60" s="91"/>
      <c r="K60" s="30" t="s">
        <v>208</v>
      </c>
    </row>
    <row r="61" spans="1:11" ht="99.75">
      <c r="A61" s="30">
        <v>61</v>
      </c>
      <c r="B61" s="96">
        <v>45720</v>
      </c>
      <c r="C61" s="74" t="s">
        <v>378</v>
      </c>
      <c r="D61" s="74"/>
      <c r="E61" s="30" t="s">
        <v>210</v>
      </c>
      <c r="F61" s="93">
        <v>20</v>
      </c>
      <c r="G61" s="91" t="s">
        <v>209</v>
      </c>
      <c r="H61" s="91" t="s">
        <v>66</v>
      </c>
      <c r="I61" s="91" t="s">
        <v>97</v>
      </c>
      <c r="J61" s="91" t="s">
        <v>30</v>
      </c>
      <c r="K61" s="30" t="s">
        <v>211</v>
      </c>
    </row>
    <row r="62" spans="1:11" ht="71.25">
      <c r="A62" s="30">
        <v>62</v>
      </c>
      <c r="B62" s="96">
        <v>45755</v>
      </c>
      <c r="C62" s="74" t="s">
        <v>378</v>
      </c>
      <c r="D62" s="74"/>
      <c r="E62" s="30" t="s">
        <v>212</v>
      </c>
      <c r="F62" s="93">
        <v>20</v>
      </c>
      <c r="G62" s="91" t="s">
        <v>94</v>
      </c>
      <c r="H62" s="91" t="s">
        <v>29</v>
      </c>
      <c r="I62" s="91" t="s">
        <v>35</v>
      </c>
      <c r="J62" s="91" t="s">
        <v>19</v>
      </c>
      <c r="K62" s="30" t="s">
        <v>213</v>
      </c>
    </row>
    <row r="63" spans="1:11" ht="85.5">
      <c r="A63" s="30">
        <v>63</v>
      </c>
      <c r="B63" s="96">
        <v>45741</v>
      </c>
      <c r="C63" s="74" t="s">
        <v>378</v>
      </c>
      <c r="D63" s="74"/>
      <c r="E63" s="71" t="s">
        <v>215</v>
      </c>
      <c r="F63" s="93">
        <v>20</v>
      </c>
      <c r="G63" s="91" t="s">
        <v>78</v>
      </c>
      <c r="H63" s="91" t="s">
        <v>214</v>
      </c>
      <c r="I63" s="91" t="s">
        <v>13</v>
      </c>
      <c r="J63" s="91" t="s">
        <v>57</v>
      </c>
      <c r="K63" s="30" t="s">
        <v>216</v>
      </c>
    </row>
    <row r="64" spans="1:11" ht="85.5">
      <c r="A64" s="30">
        <v>64</v>
      </c>
      <c r="B64" s="96">
        <v>45762</v>
      </c>
      <c r="C64" s="74" t="s">
        <v>378</v>
      </c>
      <c r="D64" s="74"/>
      <c r="E64" s="30" t="s">
        <v>218</v>
      </c>
      <c r="F64" s="93">
        <v>20</v>
      </c>
      <c r="G64" s="91" t="s">
        <v>217</v>
      </c>
      <c r="H64" s="90" t="s">
        <v>179</v>
      </c>
      <c r="I64" s="91" t="s">
        <v>17</v>
      </c>
      <c r="J64" s="91" t="s">
        <v>7</v>
      </c>
      <c r="K64" s="30" t="s">
        <v>219</v>
      </c>
    </row>
    <row r="65" spans="1:11" ht="85.5">
      <c r="A65" s="30">
        <v>65</v>
      </c>
      <c r="B65" s="96">
        <v>45755</v>
      </c>
      <c r="C65" s="74" t="s">
        <v>378</v>
      </c>
      <c r="D65" s="74"/>
      <c r="E65" s="30" t="s">
        <v>221</v>
      </c>
      <c r="F65" s="93">
        <v>20</v>
      </c>
      <c r="G65" s="91" t="s">
        <v>71</v>
      </c>
      <c r="H65" s="91" t="s">
        <v>220</v>
      </c>
      <c r="I65" s="91" t="s">
        <v>122</v>
      </c>
      <c r="J65" s="91" t="s">
        <v>100</v>
      </c>
      <c r="K65" s="30" t="s">
        <v>222</v>
      </c>
    </row>
    <row r="66" spans="1:11" ht="71.25">
      <c r="A66" s="30">
        <v>66</v>
      </c>
      <c r="B66" s="96">
        <v>45763</v>
      </c>
      <c r="C66" s="74" t="s">
        <v>378</v>
      </c>
      <c r="D66" s="74"/>
      <c r="E66" s="30" t="s">
        <v>223</v>
      </c>
      <c r="F66" s="93">
        <v>20</v>
      </c>
      <c r="G66" s="91" t="s">
        <v>89</v>
      </c>
      <c r="H66" s="91" t="s">
        <v>119</v>
      </c>
      <c r="I66" s="91" t="s">
        <v>162</v>
      </c>
      <c r="J66" s="91" t="s">
        <v>85</v>
      </c>
      <c r="K66" s="30" t="s">
        <v>224</v>
      </c>
    </row>
    <row r="67" spans="1:11" ht="85.5">
      <c r="A67" s="30">
        <v>67</v>
      </c>
      <c r="B67" s="96">
        <v>45741</v>
      </c>
      <c r="C67" s="74" t="s">
        <v>377</v>
      </c>
      <c r="D67" s="74"/>
      <c r="E67" s="30" t="s">
        <v>227</v>
      </c>
      <c r="F67" s="93">
        <v>20</v>
      </c>
      <c r="G67" s="91" t="s">
        <v>44</v>
      </c>
      <c r="H67" s="91" t="s">
        <v>225</v>
      </c>
      <c r="I67" s="91" t="s">
        <v>65</v>
      </c>
      <c r="J67" s="91" t="s">
        <v>226</v>
      </c>
      <c r="K67" s="76" t="s">
        <v>228</v>
      </c>
    </row>
    <row r="68" spans="1:11" ht="71.25">
      <c r="A68" s="30">
        <v>68</v>
      </c>
      <c r="B68" s="96">
        <v>45756</v>
      </c>
      <c r="C68" s="74" t="s">
        <v>378</v>
      </c>
      <c r="D68" s="74"/>
      <c r="E68" s="30" t="s">
        <v>230</v>
      </c>
      <c r="F68" s="93">
        <v>20</v>
      </c>
      <c r="G68" s="91" t="s">
        <v>4</v>
      </c>
      <c r="H68" s="91" t="s">
        <v>7</v>
      </c>
      <c r="I68" s="91" t="s">
        <v>14</v>
      </c>
      <c r="J68" s="91"/>
      <c r="K68" s="76" t="s">
        <v>231</v>
      </c>
    </row>
    <row r="69" spans="1:11" ht="57">
      <c r="A69" s="30">
        <v>69</v>
      </c>
      <c r="B69" s="96">
        <v>45761</v>
      </c>
      <c r="C69" s="74" t="s">
        <v>378</v>
      </c>
      <c r="D69" s="74"/>
      <c r="E69" s="30" t="s">
        <v>232</v>
      </c>
      <c r="F69" s="93">
        <v>40</v>
      </c>
      <c r="G69" s="91" t="s">
        <v>109</v>
      </c>
      <c r="H69" s="91" t="s">
        <v>29</v>
      </c>
      <c r="I69" s="91" t="s">
        <v>17</v>
      </c>
      <c r="J69" s="91" t="s">
        <v>94</v>
      </c>
      <c r="K69" s="30" t="s">
        <v>233</v>
      </c>
    </row>
    <row r="70" spans="1:11" ht="71.25">
      <c r="A70" s="30">
        <v>70</v>
      </c>
      <c r="B70" s="96">
        <v>45754</v>
      </c>
      <c r="C70" s="74" t="s">
        <v>378</v>
      </c>
      <c r="D70" s="74"/>
      <c r="E70" s="30" t="s">
        <v>234</v>
      </c>
      <c r="F70" s="93">
        <v>40</v>
      </c>
      <c r="G70" s="91" t="s">
        <v>191</v>
      </c>
      <c r="H70" s="91" t="s">
        <v>131</v>
      </c>
      <c r="I70" s="91" t="s">
        <v>122</v>
      </c>
      <c r="J70" s="91" t="s">
        <v>62</v>
      </c>
      <c r="K70" s="30" t="s">
        <v>235</v>
      </c>
    </row>
    <row r="71" spans="1:11" ht="114">
      <c r="A71" s="30">
        <v>71</v>
      </c>
      <c r="B71" s="96">
        <v>45760</v>
      </c>
      <c r="C71" s="74" t="s">
        <v>378</v>
      </c>
      <c r="D71" s="74"/>
      <c r="E71" s="30" t="s">
        <v>237</v>
      </c>
      <c r="F71" s="93">
        <v>40</v>
      </c>
      <c r="G71" s="91" t="s">
        <v>4</v>
      </c>
      <c r="H71" s="91" t="s">
        <v>31</v>
      </c>
      <c r="I71" s="91" t="s">
        <v>93</v>
      </c>
      <c r="J71" s="91" t="s">
        <v>236</v>
      </c>
      <c r="K71" s="30" t="s">
        <v>238</v>
      </c>
    </row>
    <row r="72" spans="1:11" ht="71.25">
      <c r="A72" s="30">
        <v>72</v>
      </c>
      <c r="B72" s="96">
        <v>45743</v>
      </c>
      <c r="C72" s="74" t="s">
        <v>379</v>
      </c>
      <c r="D72" s="74"/>
      <c r="E72" s="30" t="s">
        <v>126</v>
      </c>
      <c r="F72" s="93">
        <v>40</v>
      </c>
      <c r="G72" s="91" t="s">
        <v>66</v>
      </c>
      <c r="H72" s="91" t="s">
        <v>125</v>
      </c>
      <c r="I72" s="91" t="s">
        <v>94</v>
      </c>
      <c r="J72" s="91" t="s">
        <v>29</v>
      </c>
      <c r="K72" s="30" t="s">
        <v>127</v>
      </c>
    </row>
    <row r="73" spans="1:11" ht="85.5">
      <c r="A73" s="30">
        <v>73</v>
      </c>
      <c r="B73" s="96">
        <v>45771</v>
      </c>
      <c r="C73" s="74" t="s">
        <v>378</v>
      </c>
      <c r="D73" s="74"/>
      <c r="E73" s="30" t="s">
        <v>239</v>
      </c>
      <c r="F73" s="93">
        <v>40</v>
      </c>
      <c r="G73" s="91" t="s">
        <v>205</v>
      </c>
      <c r="H73" s="91" t="s">
        <v>18</v>
      </c>
      <c r="I73" s="91" t="s">
        <v>54</v>
      </c>
      <c r="J73" s="91" t="s">
        <v>144</v>
      </c>
      <c r="K73" s="30" t="s">
        <v>240</v>
      </c>
    </row>
    <row r="74" spans="1:11" ht="85.5">
      <c r="A74" s="30">
        <v>74</v>
      </c>
      <c r="B74" s="96">
        <v>45774</v>
      </c>
      <c r="C74" s="74" t="s">
        <v>378</v>
      </c>
      <c r="D74" s="74"/>
      <c r="E74" s="30" t="s">
        <v>27</v>
      </c>
      <c r="F74" s="93">
        <v>40</v>
      </c>
      <c r="G74" s="91" t="s">
        <v>11</v>
      </c>
      <c r="H74" s="91" t="s">
        <v>24</v>
      </c>
      <c r="I74" s="91" t="s">
        <v>26</v>
      </c>
      <c r="J74" s="91" t="s">
        <v>110</v>
      </c>
      <c r="K74" s="30" t="s">
        <v>241</v>
      </c>
    </row>
    <row r="75" spans="1:11" ht="71.25">
      <c r="A75" s="30">
        <v>75</v>
      </c>
      <c r="B75" s="96">
        <v>45767</v>
      </c>
      <c r="C75" s="74" t="s">
        <v>378</v>
      </c>
      <c r="D75" s="74"/>
      <c r="E75" s="30" t="s">
        <v>242</v>
      </c>
      <c r="F75" s="93">
        <v>40</v>
      </c>
      <c r="G75" s="91" t="s">
        <v>67</v>
      </c>
      <c r="H75" s="91" t="s">
        <v>136</v>
      </c>
      <c r="I75" s="91" t="s">
        <v>35</v>
      </c>
      <c r="J75" s="91" t="s">
        <v>30</v>
      </c>
      <c r="K75" s="30" t="s">
        <v>243</v>
      </c>
    </row>
    <row r="76" spans="1:11" ht="57">
      <c r="A76" s="30">
        <v>76</v>
      </c>
      <c r="B76" s="96">
        <v>45776</v>
      </c>
      <c r="C76" s="74" t="s">
        <v>378</v>
      </c>
      <c r="D76" s="74"/>
      <c r="E76" s="30" t="s">
        <v>244</v>
      </c>
      <c r="F76" s="93">
        <v>40</v>
      </c>
      <c r="G76" s="91" t="s">
        <v>34</v>
      </c>
      <c r="H76" s="91" t="s">
        <v>165</v>
      </c>
      <c r="I76" s="91" t="s">
        <v>144</v>
      </c>
      <c r="J76" s="91" t="s">
        <v>71</v>
      </c>
      <c r="K76" s="30" t="s">
        <v>245</v>
      </c>
    </row>
    <row r="77" spans="1:11" ht="57">
      <c r="A77" s="30">
        <v>77</v>
      </c>
      <c r="B77" s="96">
        <v>45792</v>
      </c>
      <c r="C77" s="74" t="s">
        <v>378</v>
      </c>
      <c r="D77" s="74"/>
      <c r="E77" s="30" t="s">
        <v>246</v>
      </c>
      <c r="F77" s="93">
        <v>20</v>
      </c>
      <c r="G77" s="91" t="s">
        <v>17</v>
      </c>
      <c r="H77" s="91" t="s">
        <v>88</v>
      </c>
      <c r="I77" s="91" t="s">
        <v>35</v>
      </c>
      <c r="J77" s="91" t="s">
        <v>75</v>
      </c>
      <c r="K77" s="30" t="s">
        <v>247</v>
      </c>
    </row>
    <row r="78" spans="1:11" ht="42.75">
      <c r="A78" s="30">
        <v>78</v>
      </c>
      <c r="B78" s="96">
        <v>45799</v>
      </c>
      <c r="C78" s="74" t="s">
        <v>378</v>
      </c>
      <c r="D78" s="74"/>
      <c r="E78" s="30" t="s">
        <v>249</v>
      </c>
      <c r="F78" s="93">
        <v>20</v>
      </c>
      <c r="G78" s="91" t="s">
        <v>26</v>
      </c>
      <c r="H78" s="91" t="s">
        <v>248</v>
      </c>
      <c r="I78" s="91" t="s">
        <v>4</v>
      </c>
      <c r="J78" s="91" t="s">
        <v>13</v>
      </c>
      <c r="K78" s="30" t="s">
        <v>250</v>
      </c>
    </row>
    <row r="79" spans="1:11" ht="114">
      <c r="A79" s="30">
        <v>79</v>
      </c>
      <c r="B79" s="96">
        <v>45790</v>
      </c>
      <c r="C79" s="74" t="s">
        <v>378</v>
      </c>
      <c r="D79" s="74"/>
      <c r="E79" s="30" t="s">
        <v>253</v>
      </c>
      <c r="F79" s="93">
        <v>20</v>
      </c>
      <c r="G79" s="91" t="s">
        <v>251</v>
      </c>
      <c r="H79" s="91" t="s">
        <v>171</v>
      </c>
      <c r="I79" s="91" t="s">
        <v>6</v>
      </c>
      <c r="J79" s="91"/>
      <c r="K79" s="30" t="s">
        <v>254</v>
      </c>
    </row>
    <row r="80" spans="1:11" ht="57">
      <c r="A80" s="30">
        <v>80</v>
      </c>
      <c r="B80" s="96">
        <v>45777</v>
      </c>
      <c r="C80" s="74" t="s">
        <v>378</v>
      </c>
      <c r="D80" s="74"/>
      <c r="E80" s="30" t="s">
        <v>255</v>
      </c>
      <c r="F80" s="93">
        <v>20</v>
      </c>
      <c r="G80" s="91" t="s">
        <v>191</v>
      </c>
      <c r="H80" s="91" t="s">
        <v>78</v>
      </c>
      <c r="I80" s="91" t="s">
        <v>110</v>
      </c>
      <c r="J80" s="91" t="s">
        <v>186</v>
      </c>
      <c r="K80" s="30" t="s">
        <v>256</v>
      </c>
    </row>
    <row r="81" spans="1:11" ht="71.25">
      <c r="A81" s="30">
        <v>81</v>
      </c>
      <c r="B81" s="96">
        <v>45797</v>
      </c>
      <c r="C81" s="74" t="s">
        <v>378</v>
      </c>
      <c r="D81" s="74"/>
      <c r="E81" s="30" t="s">
        <v>249</v>
      </c>
      <c r="F81" s="93">
        <v>20</v>
      </c>
      <c r="G81" s="91" t="s">
        <v>225</v>
      </c>
      <c r="H81" s="91" t="s">
        <v>92</v>
      </c>
      <c r="I81" s="91" t="s">
        <v>48</v>
      </c>
      <c r="J81" s="91" t="s">
        <v>29</v>
      </c>
      <c r="K81" s="30" t="s">
        <v>257</v>
      </c>
    </row>
    <row r="82" spans="1:11" ht="57">
      <c r="A82" s="30">
        <v>82</v>
      </c>
      <c r="B82" s="96">
        <v>45796</v>
      </c>
      <c r="C82" s="74" t="s">
        <v>377</v>
      </c>
      <c r="D82" s="74"/>
      <c r="E82" s="30" t="s">
        <v>258</v>
      </c>
      <c r="F82" s="93">
        <v>20</v>
      </c>
      <c r="G82" s="91" t="s">
        <v>165</v>
      </c>
      <c r="H82" s="91" t="s">
        <v>168</v>
      </c>
      <c r="I82" s="91" t="s">
        <v>144</v>
      </c>
      <c r="J82" s="91" t="s">
        <v>34</v>
      </c>
      <c r="K82" s="30" t="s">
        <v>259</v>
      </c>
    </row>
    <row r="83" spans="1:11" ht="71.25">
      <c r="A83" s="30">
        <v>83</v>
      </c>
      <c r="B83" s="96">
        <v>45803</v>
      </c>
      <c r="C83" s="74" t="s">
        <v>378</v>
      </c>
      <c r="D83" s="74"/>
      <c r="E83" s="30" t="s">
        <v>260</v>
      </c>
      <c r="F83" s="93">
        <v>30</v>
      </c>
      <c r="G83" s="91" t="s">
        <v>144</v>
      </c>
      <c r="H83" s="91" t="s">
        <v>88</v>
      </c>
      <c r="I83" s="91" t="s">
        <v>53</v>
      </c>
      <c r="J83" s="91" t="s">
        <v>7</v>
      </c>
      <c r="K83" s="30" t="s">
        <v>261</v>
      </c>
    </row>
    <row r="84" spans="1:11" ht="57">
      <c r="A84" s="30">
        <v>84</v>
      </c>
      <c r="B84" s="96">
        <v>45771</v>
      </c>
      <c r="C84" s="74" t="s">
        <v>378</v>
      </c>
      <c r="D84" s="74"/>
      <c r="E84" s="30" t="s">
        <v>262</v>
      </c>
      <c r="F84" s="93">
        <v>30</v>
      </c>
      <c r="G84" s="91" t="s">
        <v>217</v>
      </c>
      <c r="H84" s="91" t="s">
        <v>26</v>
      </c>
      <c r="I84" s="91" t="s">
        <v>25</v>
      </c>
      <c r="J84" s="91" t="s">
        <v>94</v>
      </c>
      <c r="K84" s="78" t="s">
        <v>263</v>
      </c>
    </row>
    <row r="85" spans="1:11" ht="71.25">
      <c r="A85" s="30">
        <v>85</v>
      </c>
      <c r="B85" s="96">
        <v>45804</v>
      </c>
      <c r="C85" s="74" t="s">
        <v>378</v>
      </c>
      <c r="D85" s="74"/>
      <c r="E85" s="30" t="s">
        <v>264</v>
      </c>
      <c r="F85" s="93">
        <v>20</v>
      </c>
      <c r="G85" s="91" t="s">
        <v>17</v>
      </c>
      <c r="H85" s="91" t="s">
        <v>88</v>
      </c>
      <c r="I85" s="91" t="s">
        <v>53</v>
      </c>
      <c r="J85" s="91" t="s">
        <v>251</v>
      </c>
      <c r="K85" s="76" t="s">
        <v>265</v>
      </c>
    </row>
    <row r="86" spans="1:11" ht="71.25">
      <c r="A86" s="30">
        <v>86</v>
      </c>
      <c r="B86" s="96">
        <v>45798</v>
      </c>
      <c r="C86" s="74" t="s">
        <v>378</v>
      </c>
      <c r="D86" s="74"/>
      <c r="E86" s="30" t="s">
        <v>120</v>
      </c>
      <c r="F86" s="93">
        <v>40</v>
      </c>
      <c r="G86" s="91" t="s">
        <v>5</v>
      </c>
      <c r="H86" s="91" t="s">
        <v>52</v>
      </c>
      <c r="I86" s="91" t="s">
        <v>266</v>
      </c>
      <c r="J86" s="91" t="s">
        <v>85</v>
      </c>
      <c r="K86" s="30" t="s">
        <v>267</v>
      </c>
    </row>
    <row r="87" spans="1:11" ht="57">
      <c r="A87" s="30">
        <v>87</v>
      </c>
      <c r="B87" s="96">
        <v>45796</v>
      </c>
      <c r="C87" s="74" t="s">
        <v>378</v>
      </c>
      <c r="D87" s="74"/>
      <c r="E87" s="76" t="s">
        <v>268</v>
      </c>
      <c r="F87" s="93">
        <v>40</v>
      </c>
      <c r="G87" s="91" t="s">
        <v>48</v>
      </c>
      <c r="H87" s="91" t="s">
        <v>72</v>
      </c>
      <c r="I87" s="91" t="s">
        <v>17</v>
      </c>
      <c r="J87" s="91" t="s">
        <v>66</v>
      </c>
      <c r="K87" s="30" t="s">
        <v>269</v>
      </c>
    </row>
    <row r="88" spans="1:11" ht="57">
      <c r="A88" s="30">
        <v>88</v>
      </c>
      <c r="B88" s="96">
        <v>45802</v>
      </c>
      <c r="C88" s="74" t="s">
        <v>378</v>
      </c>
      <c r="D88" s="74"/>
      <c r="E88" s="30" t="s">
        <v>163</v>
      </c>
      <c r="F88" s="93">
        <v>40</v>
      </c>
      <c r="G88" s="91" t="s">
        <v>17</v>
      </c>
      <c r="H88" s="91" t="s">
        <v>270</v>
      </c>
      <c r="I88" s="91" t="s">
        <v>162</v>
      </c>
      <c r="J88" s="91" t="s">
        <v>85</v>
      </c>
      <c r="K88" s="30" t="s">
        <v>271</v>
      </c>
    </row>
    <row r="89" spans="1:11" ht="57">
      <c r="A89" s="30">
        <v>89</v>
      </c>
      <c r="B89" s="96">
        <v>45804</v>
      </c>
      <c r="C89" s="74" t="s">
        <v>378</v>
      </c>
      <c r="D89" s="74"/>
      <c r="E89" s="30" t="s">
        <v>117</v>
      </c>
      <c r="F89" s="93">
        <v>40</v>
      </c>
      <c r="G89" s="91" t="s">
        <v>42</v>
      </c>
      <c r="H89" s="91" t="s">
        <v>88</v>
      </c>
      <c r="I89" s="91"/>
      <c r="J89" s="91" t="s">
        <v>186</v>
      </c>
      <c r="K89" s="30" t="s">
        <v>118</v>
      </c>
    </row>
    <row r="90" spans="1:11" ht="85.5">
      <c r="A90" s="30">
        <v>90</v>
      </c>
      <c r="B90" s="96">
        <v>45818</v>
      </c>
      <c r="C90" s="74" t="s">
        <v>377</v>
      </c>
      <c r="D90" s="74"/>
      <c r="E90" s="71" t="s">
        <v>273</v>
      </c>
      <c r="F90" s="93">
        <v>20</v>
      </c>
      <c r="G90" s="91" t="s">
        <v>11</v>
      </c>
      <c r="H90" s="91" t="s">
        <v>248</v>
      </c>
      <c r="I90" s="91" t="s">
        <v>35</v>
      </c>
      <c r="J90" s="91" t="s">
        <v>25</v>
      </c>
      <c r="K90" s="30" t="s">
        <v>274</v>
      </c>
    </row>
    <row r="91" spans="1:11" ht="71.25">
      <c r="A91" s="30">
        <v>91</v>
      </c>
      <c r="B91" s="96">
        <v>45832</v>
      </c>
      <c r="C91" s="74" t="s">
        <v>377</v>
      </c>
      <c r="D91" s="74"/>
      <c r="E91" s="30" t="s">
        <v>275</v>
      </c>
      <c r="F91" s="93">
        <v>20</v>
      </c>
      <c r="G91" s="91" t="s">
        <v>66</v>
      </c>
      <c r="H91" s="90" t="s">
        <v>132</v>
      </c>
      <c r="I91" s="91" t="s">
        <v>78</v>
      </c>
      <c r="J91" s="91" t="s">
        <v>19</v>
      </c>
      <c r="K91" s="25" t="s">
        <v>276</v>
      </c>
    </row>
    <row r="92" spans="1:11" ht="28.5">
      <c r="A92" s="30">
        <v>92</v>
      </c>
      <c r="B92" s="96">
        <v>45830</v>
      </c>
      <c r="C92" s="74" t="s">
        <v>378</v>
      </c>
      <c r="D92" s="74"/>
      <c r="E92" s="76" t="s">
        <v>278</v>
      </c>
      <c r="F92" s="93">
        <v>20</v>
      </c>
      <c r="G92" s="91" t="s">
        <v>42</v>
      </c>
      <c r="H92" s="91" t="s">
        <v>171</v>
      </c>
      <c r="I92" s="91" t="s">
        <v>277</v>
      </c>
      <c r="J92" s="91" t="s">
        <v>4</v>
      </c>
      <c r="K92" s="76" t="s">
        <v>279</v>
      </c>
    </row>
    <row r="93" spans="1:11" ht="57">
      <c r="A93" s="30">
        <v>93</v>
      </c>
      <c r="B93" s="96">
        <v>45837</v>
      </c>
      <c r="C93" s="74" t="s">
        <v>377</v>
      </c>
      <c r="D93" s="74"/>
      <c r="E93" s="76" t="s">
        <v>281</v>
      </c>
      <c r="F93" s="93">
        <v>20</v>
      </c>
      <c r="G93" s="91" t="s">
        <v>280</v>
      </c>
      <c r="H93" s="90" t="s">
        <v>179</v>
      </c>
      <c r="I93" s="91" t="s">
        <v>17</v>
      </c>
      <c r="J93" s="91" t="s">
        <v>226</v>
      </c>
      <c r="K93" s="76" t="s">
        <v>282</v>
      </c>
    </row>
    <row r="94" spans="1:11" ht="85.5">
      <c r="A94" s="30">
        <v>94</v>
      </c>
      <c r="B94" s="96">
        <v>45833</v>
      </c>
      <c r="C94" s="74" t="s">
        <v>378</v>
      </c>
      <c r="D94" s="74"/>
      <c r="E94" s="76" t="s">
        <v>283</v>
      </c>
      <c r="F94" s="93">
        <v>20</v>
      </c>
      <c r="G94" s="91" t="s">
        <v>217</v>
      </c>
      <c r="H94" s="91" t="s">
        <v>5</v>
      </c>
      <c r="I94" s="91" t="s">
        <v>14</v>
      </c>
      <c r="J94" s="91" t="s">
        <v>4</v>
      </c>
      <c r="K94" s="76" t="s">
        <v>284</v>
      </c>
    </row>
    <row r="95" spans="1:11" ht="42.75">
      <c r="A95" s="30">
        <v>95</v>
      </c>
      <c r="B95" s="96">
        <v>45839</v>
      </c>
      <c r="C95" s="74" t="s">
        <v>378</v>
      </c>
      <c r="D95" s="74"/>
      <c r="E95" s="76" t="s">
        <v>285</v>
      </c>
      <c r="F95" s="93">
        <v>20</v>
      </c>
      <c r="G95" s="91" t="s">
        <v>93</v>
      </c>
      <c r="H95" s="91" t="s">
        <v>92</v>
      </c>
      <c r="I95" s="91" t="s">
        <v>58</v>
      </c>
      <c r="J95" s="91" t="s">
        <v>165</v>
      </c>
      <c r="K95" s="76" t="s">
        <v>286</v>
      </c>
    </row>
    <row r="96" spans="1:11" ht="57">
      <c r="A96" s="30">
        <v>96</v>
      </c>
      <c r="B96" s="96">
        <v>45851</v>
      </c>
      <c r="C96" s="74" t="s">
        <v>378</v>
      </c>
      <c r="D96" s="74"/>
      <c r="E96" s="76" t="s">
        <v>287</v>
      </c>
      <c r="F96" s="93">
        <v>20</v>
      </c>
      <c r="G96" s="91" t="s">
        <v>89</v>
      </c>
      <c r="H96" s="91" t="s">
        <v>24</v>
      </c>
      <c r="I96" s="91" t="s">
        <v>58</v>
      </c>
      <c r="J96" s="91" t="s">
        <v>34</v>
      </c>
      <c r="K96" s="76" t="s">
        <v>288</v>
      </c>
    </row>
    <row r="97" spans="1:11" ht="57">
      <c r="A97" s="30">
        <v>97</v>
      </c>
      <c r="B97" s="96">
        <v>45846</v>
      </c>
      <c r="C97" s="74" t="s">
        <v>378</v>
      </c>
      <c r="D97" s="74"/>
      <c r="E97" s="76" t="s">
        <v>290</v>
      </c>
      <c r="F97" s="93">
        <v>20</v>
      </c>
      <c r="G97" s="91" t="s">
        <v>226</v>
      </c>
      <c r="H97" s="90" t="s">
        <v>136</v>
      </c>
      <c r="I97" s="91" t="s">
        <v>19</v>
      </c>
      <c r="J97" s="91" t="s">
        <v>289</v>
      </c>
      <c r="K97" s="76" t="s">
        <v>291</v>
      </c>
    </row>
    <row r="98" spans="1:11" ht="57">
      <c r="A98" s="30">
        <v>98</v>
      </c>
      <c r="B98" s="96">
        <v>45834</v>
      </c>
      <c r="C98" s="74" t="s">
        <v>378</v>
      </c>
      <c r="D98" s="74"/>
      <c r="E98" s="30" t="s">
        <v>293</v>
      </c>
      <c r="F98" s="93">
        <v>40</v>
      </c>
      <c r="G98" s="91" t="s">
        <v>248</v>
      </c>
      <c r="H98" s="91" t="s">
        <v>109</v>
      </c>
      <c r="I98" s="91" t="s">
        <v>93</v>
      </c>
      <c r="J98" s="91"/>
      <c r="K98" s="76" t="s">
        <v>294</v>
      </c>
    </row>
    <row r="99" spans="1:11" ht="57">
      <c r="A99" s="30">
        <v>99</v>
      </c>
      <c r="B99" s="96">
        <v>45824</v>
      </c>
      <c r="C99" s="74" t="s">
        <v>380</v>
      </c>
      <c r="D99" s="74"/>
      <c r="E99" s="30" t="s">
        <v>295</v>
      </c>
      <c r="F99" s="93">
        <v>40</v>
      </c>
      <c r="G99" s="91" t="s">
        <v>71</v>
      </c>
      <c r="H99" s="91" t="s">
        <v>92</v>
      </c>
      <c r="I99" s="91" t="s">
        <v>266</v>
      </c>
      <c r="J99" s="91" t="s">
        <v>25</v>
      </c>
      <c r="K99" s="76" t="s">
        <v>296</v>
      </c>
    </row>
    <row r="100" spans="1:11" ht="42.75">
      <c r="A100" s="30">
        <v>100</v>
      </c>
      <c r="B100" s="96">
        <v>45873</v>
      </c>
      <c r="C100" s="74" t="s">
        <v>378</v>
      </c>
      <c r="D100" s="74"/>
      <c r="E100" s="30" t="s">
        <v>297</v>
      </c>
      <c r="F100" s="93">
        <v>40</v>
      </c>
      <c r="G100" s="91" t="s">
        <v>14</v>
      </c>
      <c r="H100" s="91" t="s">
        <v>24</v>
      </c>
      <c r="I100" s="91" t="s">
        <v>236</v>
      </c>
      <c r="J100" s="91" t="s">
        <v>94</v>
      </c>
      <c r="K100" s="30" t="s">
        <v>298</v>
      </c>
    </row>
    <row r="101" spans="1:11" ht="42.75">
      <c r="A101" s="30">
        <v>101</v>
      </c>
      <c r="B101" s="96">
        <v>45887</v>
      </c>
      <c r="C101" s="74" t="s">
        <v>378</v>
      </c>
      <c r="D101" s="74"/>
      <c r="E101" s="30" t="s">
        <v>22</v>
      </c>
      <c r="F101" s="93">
        <v>40</v>
      </c>
      <c r="G101" s="91" t="s">
        <v>29</v>
      </c>
      <c r="H101" s="91" t="s">
        <v>89</v>
      </c>
      <c r="I101" s="91" t="s">
        <v>19</v>
      </c>
      <c r="J101" s="91" t="s">
        <v>20</v>
      </c>
      <c r="K101" s="30" t="s">
        <v>299</v>
      </c>
    </row>
    <row r="102" spans="1:11" ht="42.75">
      <c r="A102" s="30">
        <v>102</v>
      </c>
      <c r="B102" s="96">
        <v>45886</v>
      </c>
      <c r="C102" s="74" t="s">
        <v>378</v>
      </c>
      <c r="D102" s="74"/>
      <c r="E102" s="30" t="s">
        <v>15</v>
      </c>
      <c r="F102" s="93">
        <v>40</v>
      </c>
      <c r="G102" s="91" t="s">
        <v>11</v>
      </c>
      <c r="H102" s="91" t="s">
        <v>18</v>
      </c>
      <c r="I102" s="91" t="s">
        <v>13</v>
      </c>
      <c r="J102" s="91" t="s">
        <v>162</v>
      </c>
      <c r="K102" s="30" t="s">
        <v>300</v>
      </c>
    </row>
    <row r="103" spans="1:11" ht="71.25">
      <c r="A103" s="30">
        <v>103</v>
      </c>
      <c r="B103" s="96">
        <v>45874</v>
      </c>
      <c r="C103" s="74" t="s">
        <v>378</v>
      </c>
      <c r="D103" s="74"/>
      <c r="E103" s="30" t="s">
        <v>301</v>
      </c>
      <c r="F103" s="93">
        <v>40</v>
      </c>
      <c r="G103" s="91" t="s">
        <v>14</v>
      </c>
      <c r="H103" s="91" t="s">
        <v>92</v>
      </c>
      <c r="I103" s="91" t="s">
        <v>280</v>
      </c>
      <c r="J103" s="91" t="s">
        <v>94</v>
      </c>
      <c r="K103" s="30" t="s">
        <v>302</v>
      </c>
    </row>
    <row r="104" spans="1:11" ht="71.25">
      <c r="A104" s="30">
        <v>104</v>
      </c>
      <c r="B104" s="96">
        <v>45952</v>
      </c>
      <c r="C104" s="74" t="s">
        <v>378</v>
      </c>
      <c r="D104" s="74"/>
      <c r="E104" s="80" t="s">
        <v>304</v>
      </c>
      <c r="F104" s="93">
        <v>20</v>
      </c>
      <c r="G104" s="91" t="s">
        <v>48</v>
      </c>
      <c r="H104" s="91" t="s">
        <v>303</v>
      </c>
      <c r="I104" s="91" t="s">
        <v>280</v>
      </c>
      <c r="J104" s="91" t="s">
        <v>67</v>
      </c>
      <c r="K104" s="76" t="s">
        <v>305</v>
      </c>
    </row>
    <row r="105" spans="1:11" ht="57">
      <c r="A105" s="30">
        <v>105</v>
      </c>
      <c r="B105" s="96">
        <v>45889</v>
      </c>
      <c r="C105" s="74" t="s">
        <v>378</v>
      </c>
      <c r="D105" s="74"/>
      <c r="E105" s="76" t="s">
        <v>306</v>
      </c>
      <c r="F105" s="93">
        <v>20</v>
      </c>
      <c r="G105" s="91" t="s">
        <v>48</v>
      </c>
      <c r="H105" s="91" t="s">
        <v>34</v>
      </c>
      <c r="I105" s="91" t="s">
        <v>4</v>
      </c>
      <c r="J105" s="91" t="s">
        <v>89</v>
      </c>
      <c r="K105" s="76" t="s">
        <v>307</v>
      </c>
    </row>
    <row r="106" spans="1:11" ht="57">
      <c r="A106" s="23">
        <v>106</v>
      </c>
      <c r="B106" s="96">
        <v>45894</v>
      </c>
      <c r="C106" s="74" t="s">
        <v>378</v>
      </c>
      <c r="D106" s="74"/>
      <c r="E106" s="30" t="s">
        <v>309</v>
      </c>
      <c r="F106" s="93">
        <v>20</v>
      </c>
      <c r="G106" s="91" t="s">
        <v>125</v>
      </c>
      <c r="H106" s="91" t="s">
        <v>308</v>
      </c>
      <c r="I106" s="91" t="s">
        <v>53</v>
      </c>
      <c r="J106" s="91" t="s">
        <v>191</v>
      </c>
      <c r="K106" s="76" t="s">
        <v>310</v>
      </c>
    </row>
    <row r="107" spans="1:11" ht="99.75">
      <c r="A107" s="30">
        <v>107</v>
      </c>
      <c r="B107" s="96">
        <v>45896</v>
      </c>
      <c r="C107" s="74" t="s">
        <v>378</v>
      </c>
      <c r="D107" s="74"/>
      <c r="E107" s="79" t="s">
        <v>184</v>
      </c>
      <c r="F107" s="93">
        <v>30</v>
      </c>
      <c r="G107" s="91" t="s">
        <v>92</v>
      </c>
      <c r="H107" s="90" t="s">
        <v>179</v>
      </c>
      <c r="I107" s="91" t="s">
        <v>67</v>
      </c>
      <c r="J107" s="91" t="s">
        <v>19</v>
      </c>
      <c r="K107" s="76" t="s">
        <v>311</v>
      </c>
    </row>
    <row r="108" spans="1:11" ht="85.5">
      <c r="A108" s="30">
        <v>108</v>
      </c>
      <c r="B108" s="96">
        <v>45890</v>
      </c>
      <c r="C108" s="74" t="s">
        <v>378</v>
      </c>
      <c r="D108" s="74"/>
      <c r="E108" s="79" t="s">
        <v>312</v>
      </c>
      <c r="F108" s="93">
        <v>20</v>
      </c>
      <c r="G108" s="91" t="s">
        <v>109</v>
      </c>
      <c r="H108" s="91" t="s">
        <v>12</v>
      </c>
      <c r="I108" s="91" t="s">
        <v>205</v>
      </c>
      <c r="J108" s="91" t="s">
        <v>25</v>
      </c>
      <c r="K108" s="76" t="s">
        <v>313</v>
      </c>
    </row>
    <row r="109" spans="1:11" ht="71.25">
      <c r="A109" s="30">
        <v>109</v>
      </c>
      <c r="B109" s="96">
        <v>45897</v>
      </c>
      <c r="C109" s="74" t="s">
        <v>378</v>
      </c>
      <c r="D109" s="74"/>
      <c r="E109" s="76" t="s">
        <v>314</v>
      </c>
      <c r="F109" s="93">
        <v>20</v>
      </c>
      <c r="G109" s="91" t="s">
        <v>280</v>
      </c>
      <c r="H109" s="91" t="s">
        <v>92</v>
      </c>
      <c r="I109" s="91" t="s">
        <v>97</v>
      </c>
      <c r="J109" s="91" t="s">
        <v>29</v>
      </c>
      <c r="K109" s="76" t="s">
        <v>315</v>
      </c>
    </row>
    <row r="110" spans="1:11" ht="128.25">
      <c r="A110" s="30">
        <v>110</v>
      </c>
      <c r="B110" s="96">
        <v>45896</v>
      </c>
      <c r="C110" s="74" t="s">
        <v>377</v>
      </c>
      <c r="D110" s="74"/>
      <c r="E110" s="30" t="s">
        <v>40</v>
      </c>
      <c r="F110" s="93">
        <v>40</v>
      </c>
      <c r="G110" s="91" t="s">
        <v>11</v>
      </c>
      <c r="H110" s="91" t="s">
        <v>226</v>
      </c>
      <c r="I110" s="91" t="s">
        <v>39</v>
      </c>
      <c r="J110" s="91" t="s">
        <v>110</v>
      </c>
      <c r="K110" s="30" t="s">
        <v>316</v>
      </c>
    </row>
    <row r="111" spans="1:11" ht="86.25">
      <c r="A111" s="30">
        <v>111</v>
      </c>
      <c r="B111" s="96">
        <v>45921</v>
      </c>
      <c r="C111" s="74" t="s">
        <v>378</v>
      </c>
      <c r="D111" s="74"/>
      <c r="E111" s="30" t="s">
        <v>317</v>
      </c>
      <c r="F111" s="93">
        <v>20</v>
      </c>
      <c r="G111" s="91" t="s">
        <v>89</v>
      </c>
      <c r="H111" s="91" t="s">
        <v>248</v>
      </c>
      <c r="I111" s="91" t="s">
        <v>162</v>
      </c>
      <c r="J111" s="91" t="s">
        <v>5</v>
      </c>
      <c r="K111" s="81" t="s">
        <v>318</v>
      </c>
    </row>
    <row r="112" spans="1:11" ht="99.75">
      <c r="A112" s="30">
        <v>112</v>
      </c>
      <c r="B112" s="96">
        <v>45966</v>
      </c>
      <c r="C112" s="74" t="s">
        <v>377</v>
      </c>
      <c r="D112" s="74"/>
      <c r="E112" s="30" t="s">
        <v>319</v>
      </c>
      <c r="F112" s="93">
        <v>20</v>
      </c>
      <c r="G112" s="91" t="s">
        <v>89</v>
      </c>
      <c r="H112" s="91" t="s">
        <v>52</v>
      </c>
      <c r="I112" s="91" t="s">
        <v>162</v>
      </c>
      <c r="J112" s="91" t="s">
        <v>85</v>
      </c>
      <c r="K112" s="76" t="s">
        <v>320</v>
      </c>
    </row>
    <row r="113" spans="1:11" ht="71.25">
      <c r="A113" s="30">
        <v>113</v>
      </c>
      <c r="B113" s="96">
        <v>45935</v>
      </c>
      <c r="C113" s="74" t="s">
        <v>378</v>
      </c>
      <c r="D113" s="74"/>
      <c r="E113" s="30" t="s">
        <v>230</v>
      </c>
      <c r="F113" s="93">
        <v>40</v>
      </c>
      <c r="G113" s="91" t="s">
        <v>53</v>
      </c>
      <c r="H113" s="91" t="s">
        <v>11</v>
      </c>
      <c r="I113" s="91" t="s">
        <v>14</v>
      </c>
      <c r="J113" s="91" t="s">
        <v>4</v>
      </c>
      <c r="K113" s="76" t="s">
        <v>231</v>
      </c>
    </row>
    <row r="114" spans="1:11" ht="99.75">
      <c r="A114" s="30">
        <v>114</v>
      </c>
      <c r="B114" s="96">
        <v>45945</v>
      </c>
      <c r="C114" s="74" t="s">
        <v>378</v>
      </c>
      <c r="D114" s="74"/>
      <c r="E114" s="30" t="s">
        <v>9</v>
      </c>
      <c r="F114" s="93">
        <v>40</v>
      </c>
      <c r="G114" s="91" t="s">
        <v>62</v>
      </c>
      <c r="H114" s="91" t="s">
        <v>11</v>
      </c>
      <c r="I114" s="91" t="s">
        <v>6</v>
      </c>
      <c r="J114" s="91" t="s">
        <v>7</v>
      </c>
      <c r="K114" s="30" t="s">
        <v>321</v>
      </c>
    </row>
    <row r="115" spans="1:11" ht="86.25">
      <c r="A115" s="23">
        <v>115</v>
      </c>
      <c r="B115" s="96">
        <v>45993</v>
      </c>
      <c r="C115" s="28" t="s">
        <v>377</v>
      </c>
      <c r="D115" s="28"/>
      <c r="E115" s="26" t="s">
        <v>322</v>
      </c>
      <c r="F115" s="93">
        <v>20</v>
      </c>
      <c r="G115" s="90" t="s">
        <v>186</v>
      </c>
      <c r="H115" s="90" t="s">
        <v>136</v>
      </c>
      <c r="I115" s="90" t="s">
        <v>97</v>
      </c>
      <c r="J115" s="90" t="s">
        <v>109</v>
      </c>
      <c r="K115" s="27" t="s">
        <v>323</v>
      </c>
    </row>
    <row r="116" spans="1:11" ht="71.25">
      <c r="A116" s="30">
        <v>116</v>
      </c>
      <c r="B116" s="96">
        <v>45992</v>
      </c>
      <c r="C116" s="74" t="s">
        <v>378</v>
      </c>
      <c r="D116" s="74"/>
      <c r="E116" s="79" t="s">
        <v>324</v>
      </c>
      <c r="F116" s="93">
        <v>20</v>
      </c>
      <c r="G116" s="91" t="s">
        <v>92</v>
      </c>
      <c r="H116" s="91" t="s">
        <v>248</v>
      </c>
      <c r="I116" s="91" t="s">
        <v>94</v>
      </c>
      <c r="J116" s="91" t="s">
        <v>280</v>
      </c>
      <c r="K116" s="76" t="s">
        <v>325</v>
      </c>
    </row>
    <row r="117" spans="1:11" ht="85.5">
      <c r="A117" s="30">
        <v>117</v>
      </c>
      <c r="B117" s="96">
        <v>45986</v>
      </c>
      <c r="C117" s="74" t="s">
        <v>378</v>
      </c>
      <c r="D117" s="74"/>
      <c r="E117" s="83" t="s">
        <v>326</v>
      </c>
      <c r="F117" s="93">
        <v>40</v>
      </c>
      <c r="G117" s="91" t="s">
        <v>280</v>
      </c>
      <c r="H117" s="90" t="s">
        <v>179</v>
      </c>
      <c r="I117" s="91" t="s">
        <v>94</v>
      </c>
      <c r="J117" s="91" t="s">
        <v>236</v>
      </c>
      <c r="K117" s="30" t="s">
        <v>327</v>
      </c>
    </row>
    <row r="118" spans="1:11" ht="71.25">
      <c r="A118" s="23">
        <v>118</v>
      </c>
      <c r="B118" s="96">
        <v>45985</v>
      </c>
      <c r="C118" s="74" t="s">
        <v>378</v>
      </c>
      <c r="D118" s="74"/>
      <c r="E118" s="52" t="s">
        <v>329</v>
      </c>
      <c r="F118" s="93">
        <v>40</v>
      </c>
      <c r="G118" s="91" t="s">
        <v>97</v>
      </c>
      <c r="H118" s="91" t="s">
        <v>328</v>
      </c>
      <c r="I118" s="91" t="s">
        <v>39</v>
      </c>
      <c r="J118" s="91" t="s">
        <v>4</v>
      </c>
      <c r="K118" s="30" t="s">
        <v>330</v>
      </c>
    </row>
    <row r="119" spans="1:11" ht="85.5">
      <c r="A119" s="30">
        <v>119</v>
      </c>
      <c r="B119" s="96">
        <v>46015</v>
      </c>
      <c r="C119" s="74" t="s">
        <v>378</v>
      </c>
      <c r="D119" s="74"/>
      <c r="E119" s="77" t="s">
        <v>90</v>
      </c>
      <c r="F119" s="93">
        <v>40</v>
      </c>
      <c r="G119" s="91" t="s">
        <v>165</v>
      </c>
      <c r="H119" s="91" t="s">
        <v>248</v>
      </c>
      <c r="I119" s="91" t="s">
        <v>25</v>
      </c>
      <c r="J119" s="91" t="s">
        <v>5</v>
      </c>
      <c r="K119" s="30" t="s">
        <v>331</v>
      </c>
    </row>
    <row r="120" spans="1:11" ht="57">
      <c r="A120" s="30">
        <v>120</v>
      </c>
      <c r="B120" s="96">
        <v>45987</v>
      </c>
      <c r="C120" s="74" t="s">
        <v>378</v>
      </c>
      <c r="D120" s="74"/>
      <c r="E120" s="30" t="s">
        <v>137</v>
      </c>
      <c r="F120" s="93">
        <v>40</v>
      </c>
      <c r="G120" s="91" t="s">
        <v>17</v>
      </c>
      <c r="H120" s="91" t="s">
        <v>49</v>
      </c>
      <c r="I120" s="91" t="s">
        <v>280</v>
      </c>
      <c r="J120" s="91" t="s">
        <v>19</v>
      </c>
      <c r="K120" s="30" t="s">
        <v>332</v>
      </c>
    </row>
    <row r="121" spans="1:11" ht="71.25">
      <c r="A121" s="30">
        <v>121</v>
      </c>
      <c r="B121" s="96">
        <v>46020</v>
      </c>
      <c r="C121" s="74" t="s">
        <v>378</v>
      </c>
      <c r="D121" s="74"/>
      <c r="E121" s="30" t="s">
        <v>129</v>
      </c>
      <c r="F121" s="93">
        <v>40</v>
      </c>
      <c r="G121" s="91" t="s">
        <v>93</v>
      </c>
      <c r="H121" s="91" t="s">
        <v>7</v>
      </c>
      <c r="I121" s="91" t="s">
        <v>39</v>
      </c>
      <c r="J121" s="91" t="s">
        <v>35</v>
      </c>
      <c r="K121" s="30" t="s">
        <v>333</v>
      </c>
    </row>
    <row r="122" spans="1:11" ht="42.75">
      <c r="A122" s="30">
        <v>122</v>
      </c>
      <c r="B122" s="96">
        <v>46006</v>
      </c>
      <c r="C122" s="74" t="s">
        <v>378</v>
      </c>
      <c r="D122" s="74"/>
      <c r="E122" s="79" t="s">
        <v>334</v>
      </c>
      <c r="F122" s="93">
        <v>20</v>
      </c>
      <c r="G122" s="91" t="s">
        <v>248</v>
      </c>
      <c r="H122" s="91" t="s">
        <v>88</v>
      </c>
      <c r="I122" s="91" t="s">
        <v>280</v>
      </c>
      <c r="J122" s="91" t="s">
        <v>29</v>
      </c>
      <c r="K122" s="76" t="s">
        <v>335</v>
      </c>
    </row>
    <row r="123" spans="1:11" s="22" customFormat="1" ht="85.5">
      <c r="A123" s="24">
        <v>123</v>
      </c>
      <c r="B123" s="96">
        <v>46050</v>
      </c>
      <c r="C123" s="85" t="s">
        <v>378</v>
      </c>
      <c r="D123" s="85"/>
      <c r="E123" s="24" t="s">
        <v>336</v>
      </c>
      <c r="F123" s="93">
        <v>20</v>
      </c>
      <c r="G123" s="91" t="s">
        <v>144</v>
      </c>
      <c r="H123" s="91" t="s">
        <v>220</v>
      </c>
      <c r="I123" s="91" t="s">
        <v>4</v>
      </c>
      <c r="J123" s="91" t="s">
        <v>186</v>
      </c>
      <c r="K123" s="84" t="s">
        <v>337</v>
      </c>
    </row>
    <row r="124" spans="1:11" ht="85.5">
      <c r="A124" s="30">
        <v>124</v>
      </c>
      <c r="B124" s="96">
        <v>46007</v>
      </c>
      <c r="C124" s="74" t="s">
        <v>377</v>
      </c>
      <c r="D124" s="74"/>
      <c r="E124" s="30" t="s">
        <v>338</v>
      </c>
      <c r="F124" s="93">
        <v>20</v>
      </c>
      <c r="G124" s="91" t="s">
        <v>217</v>
      </c>
      <c r="H124" s="91" t="s">
        <v>308</v>
      </c>
      <c r="I124" s="91" t="s">
        <v>6</v>
      </c>
      <c r="J124" s="91" t="s">
        <v>7</v>
      </c>
      <c r="K124" s="76" t="s">
        <v>339</v>
      </c>
    </row>
    <row r="125" spans="1:11" ht="71.25">
      <c r="A125" s="30">
        <v>125</v>
      </c>
      <c r="B125" s="96">
        <v>46035</v>
      </c>
      <c r="C125" s="74" t="s">
        <v>378</v>
      </c>
      <c r="D125" s="74"/>
      <c r="E125" s="82" t="s">
        <v>341</v>
      </c>
      <c r="F125" s="93">
        <v>20</v>
      </c>
      <c r="G125" s="91" t="s">
        <v>29</v>
      </c>
      <c r="H125" s="90" t="s">
        <v>179</v>
      </c>
      <c r="I125" s="91" t="s">
        <v>280</v>
      </c>
      <c r="J125" s="91" t="s">
        <v>340</v>
      </c>
      <c r="K125" s="30" t="s">
        <v>342</v>
      </c>
    </row>
    <row r="126" spans="1:11" ht="85.5">
      <c r="A126" s="30">
        <v>126</v>
      </c>
      <c r="B126" s="96">
        <v>46019</v>
      </c>
      <c r="C126" s="74" t="s">
        <v>378</v>
      </c>
      <c r="D126" s="74"/>
      <c r="E126" s="30" t="s">
        <v>344</v>
      </c>
      <c r="F126" s="93">
        <v>20</v>
      </c>
      <c r="G126" s="91"/>
      <c r="H126" s="91" t="s">
        <v>66</v>
      </c>
      <c r="I126" s="91" t="s">
        <v>162</v>
      </c>
      <c r="J126" s="91"/>
      <c r="K126" s="30" t="s">
        <v>345</v>
      </c>
    </row>
    <row r="127" spans="1:11" ht="85.5">
      <c r="A127" s="30">
        <v>127</v>
      </c>
      <c r="B127" s="96">
        <v>46013</v>
      </c>
      <c r="C127" s="74" t="s">
        <v>377</v>
      </c>
      <c r="D127" s="74"/>
      <c r="E127" s="30" t="s">
        <v>347</v>
      </c>
      <c r="F127" s="93">
        <v>40</v>
      </c>
      <c r="G127" s="91" t="s">
        <v>155</v>
      </c>
      <c r="H127" s="91" t="s">
        <v>92</v>
      </c>
      <c r="I127" s="91" t="s">
        <v>13</v>
      </c>
      <c r="J127" s="91"/>
      <c r="K127" s="30" t="s">
        <v>348</v>
      </c>
    </row>
    <row r="128" spans="1:11" ht="85.5">
      <c r="A128" s="88">
        <v>128</v>
      </c>
      <c r="B128" s="96">
        <v>46040</v>
      </c>
      <c r="C128" s="89" t="s">
        <v>378</v>
      </c>
      <c r="D128" s="89"/>
      <c r="E128" s="87" t="s">
        <v>364</v>
      </c>
      <c r="F128" s="93">
        <v>20</v>
      </c>
      <c r="G128" s="91" t="s">
        <v>236</v>
      </c>
      <c r="H128" s="91" t="s">
        <v>363</v>
      </c>
      <c r="I128" s="91" t="s">
        <v>122</v>
      </c>
      <c r="J128" s="91" t="s">
        <v>26</v>
      </c>
      <c r="K128" s="86" t="s">
        <v>365</v>
      </c>
    </row>
    <row r="129" spans="1:11" ht="114">
      <c r="A129" s="30">
        <v>129</v>
      </c>
      <c r="B129" s="96">
        <v>46034</v>
      </c>
      <c r="C129" s="89" t="s">
        <v>378</v>
      </c>
      <c r="D129" s="89"/>
      <c r="E129" s="86" t="s">
        <v>367</v>
      </c>
      <c r="F129" s="93">
        <v>20</v>
      </c>
      <c r="G129" s="91" t="s">
        <v>71</v>
      </c>
      <c r="H129" s="91" t="s">
        <v>366</v>
      </c>
      <c r="I129" s="91" t="s">
        <v>13</v>
      </c>
      <c r="J129" s="91" t="s">
        <v>7</v>
      </c>
      <c r="K129" s="86" t="s">
        <v>368</v>
      </c>
    </row>
    <row r="130" spans="1:11" ht="71.25">
      <c r="A130" s="30">
        <v>130</v>
      </c>
      <c r="B130" s="96">
        <v>46048</v>
      </c>
      <c r="C130" s="89" t="s">
        <v>377</v>
      </c>
      <c r="D130" s="89"/>
      <c r="E130" s="53" t="s">
        <v>369</v>
      </c>
      <c r="F130" s="93">
        <v>20</v>
      </c>
      <c r="G130" s="90" t="s">
        <v>179</v>
      </c>
      <c r="H130" s="91" t="s">
        <v>362</v>
      </c>
      <c r="I130" s="91" t="s">
        <v>30</v>
      </c>
      <c r="J130" s="91" t="s">
        <v>29</v>
      </c>
      <c r="K130" s="53" t="s">
        <v>370</v>
      </c>
    </row>
    <row r="131" spans="1:11" ht="85.5">
      <c r="A131" s="30">
        <v>131</v>
      </c>
      <c r="B131" s="96">
        <v>46041</v>
      </c>
      <c r="C131" s="89" t="s">
        <v>378</v>
      </c>
      <c r="D131" s="89"/>
      <c r="E131" s="71" t="s">
        <v>273</v>
      </c>
      <c r="F131" s="93">
        <v>40</v>
      </c>
      <c r="G131" s="91" t="s">
        <v>11</v>
      </c>
      <c r="H131" s="91" t="s">
        <v>248</v>
      </c>
      <c r="I131" s="91" t="s">
        <v>35</v>
      </c>
      <c r="J131" s="91" t="s">
        <v>25</v>
      </c>
      <c r="K131" s="53" t="s">
        <v>371</v>
      </c>
    </row>
    <row r="132" spans="1:11" ht="85.5">
      <c r="A132" s="30">
        <v>132</v>
      </c>
      <c r="B132" s="96">
        <v>46056</v>
      </c>
      <c r="C132" s="89" t="s">
        <v>377</v>
      </c>
      <c r="D132" s="89"/>
      <c r="E132" s="53" t="s">
        <v>32</v>
      </c>
      <c r="F132" s="93">
        <v>40</v>
      </c>
      <c r="G132" s="91" t="s">
        <v>97</v>
      </c>
      <c r="H132" s="91" t="s">
        <v>29</v>
      </c>
      <c r="I132" s="91" t="s">
        <v>280</v>
      </c>
      <c r="J132" s="91" t="s">
        <v>30</v>
      </c>
      <c r="K132" s="53" t="s">
        <v>372</v>
      </c>
    </row>
  </sheetData>
  <autoFilter ref="A1:K132" xr:uid="{00000000-0009-0000-0000-000000000000}"/>
  <pageMargins left="0.7" right="0.7" top="0.75" bottom="0.75" header="0" footer="0"/>
  <pageSetup fitToHeight="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11"/>
  <sheetViews>
    <sheetView workbookViewId="0">
      <pane ySplit="4" topLeftCell="A12" activePane="bottomLeft" state="frozen"/>
      <selection pane="bottomLeft" activeCell="B12" sqref="B12"/>
    </sheetView>
  </sheetViews>
  <sheetFormatPr defaultColWidth="14.42578125" defaultRowHeight="15" customHeight="1"/>
  <cols>
    <col min="1" max="1" width="6.28515625" customWidth="1"/>
    <col min="2" max="2" width="36.5703125" customWidth="1"/>
    <col min="3" max="3" width="11.28515625" customWidth="1"/>
    <col min="4" max="4" width="11.5703125" customWidth="1"/>
    <col min="5" max="5" width="7.5703125" customWidth="1"/>
    <col min="6" max="6" width="8.42578125" customWidth="1"/>
    <col min="7" max="7" width="12.42578125" customWidth="1"/>
    <col min="8" max="8" width="11.140625" customWidth="1"/>
    <col min="9" max="9" width="10.7109375" customWidth="1"/>
    <col min="10" max="11" width="8.7109375" customWidth="1"/>
    <col min="12" max="12" width="11.28515625" customWidth="1"/>
    <col min="13" max="26" width="8.7109375" customWidth="1"/>
  </cols>
  <sheetData>
    <row r="1" spans="1:12" ht="27" customHeight="1">
      <c r="A1" s="98" t="s">
        <v>349</v>
      </c>
      <c r="B1" s="99"/>
      <c r="C1" s="99"/>
      <c r="D1" s="99"/>
      <c r="E1" s="99"/>
      <c r="F1" s="99"/>
      <c r="G1" s="99"/>
      <c r="L1" s="11"/>
    </row>
    <row r="2" spans="1:12" ht="12" customHeight="1">
      <c r="A2" s="1"/>
      <c r="B2" s="1"/>
      <c r="C2" s="1"/>
      <c r="D2" s="1"/>
      <c r="E2" s="1"/>
      <c r="F2" s="1"/>
      <c r="G2" s="1"/>
      <c r="L2" s="11"/>
    </row>
    <row r="3" spans="1:12">
      <c r="A3" s="102" t="s">
        <v>0</v>
      </c>
      <c r="B3" s="102" t="s">
        <v>350</v>
      </c>
      <c r="C3" s="100" t="s">
        <v>351</v>
      </c>
      <c r="D3" s="101"/>
      <c r="E3" s="101"/>
      <c r="F3" s="101"/>
      <c r="G3" s="101"/>
      <c r="H3" s="100" t="s">
        <v>352</v>
      </c>
      <c r="I3" s="101"/>
      <c r="J3" s="101"/>
      <c r="K3" s="101"/>
      <c r="L3" s="101"/>
    </row>
    <row r="4" spans="1:12" ht="27" customHeight="1">
      <c r="A4" s="103"/>
      <c r="B4" s="103"/>
      <c r="C4" s="2" t="s">
        <v>353</v>
      </c>
      <c r="D4" s="3" t="s">
        <v>1</v>
      </c>
      <c r="E4" s="3" t="s">
        <v>2</v>
      </c>
      <c r="F4" s="3" t="s">
        <v>3</v>
      </c>
      <c r="G4" s="3" t="s">
        <v>354</v>
      </c>
      <c r="H4" s="3" t="s">
        <v>353</v>
      </c>
      <c r="I4" s="3" t="s">
        <v>1</v>
      </c>
      <c r="J4" s="3" t="s">
        <v>2</v>
      </c>
      <c r="K4" s="3" t="s">
        <v>3</v>
      </c>
      <c r="L4" s="3" t="s">
        <v>354</v>
      </c>
    </row>
    <row r="5" spans="1:12" ht="27.75" customHeight="1">
      <c r="A5" s="4">
        <v>1</v>
      </c>
      <c r="B5" s="5" t="s">
        <v>6</v>
      </c>
      <c r="C5" s="4">
        <f>COUNTIF(DATA_SURAT_PELANTIKAN!$G$2:$G$55,B5)</f>
        <v>0</v>
      </c>
      <c r="D5" s="4">
        <f>COUNTIF(DATA_SURAT_PELANTIKAN!$H$2:$H$55,B5)</f>
        <v>0</v>
      </c>
      <c r="E5" s="4">
        <f>COUNTIF(DATA_SURAT_PELANTIKAN!$I$2:$I$55,B5)</f>
        <v>2</v>
      </c>
      <c r="F5" s="4">
        <f>COUNTIF(DATA_SURAT_PELANTIKAN!$J$2:$J$55,B5)</f>
        <v>0</v>
      </c>
      <c r="G5" s="6">
        <f t="shared" ref="G5:G93" si="0">SUM(C5:F5)</f>
        <v>2</v>
      </c>
      <c r="H5" s="4">
        <f>COUNTIF(DATA_SURAT_PELANTIKAN!$G$56:$G$132,B5)</f>
        <v>0</v>
      </c>
      <c r="I5" s="4">
        <f>COUNTIF(DATA_SURAT_PELANTIKAN!$H$56:$H$132,B5)</f>
        <v>0</v>
      </c>
      <c r="J5" s="4">
        <f>COUNTIF(DATA_SURAT_PELANTIKAN!$I$56:$I$132,B5)</f>
        <v>3</v>
      </c>
      <c r="K5" s="4">
        <f>COUNTIF(DATA_SURAT_PELANTIKAN!$J$56:$J$132,B5)</f>
        <v>0</v>
      </c>
      <c r="L5" s="6">
        <f>SUM(H5:K5)</f>
        <v>3</v>
      </c>
    </row>
    <row r="6" spans="1:12" ht="27.75" customHeight="1">
      <c r="A6" s="4">
        <v>2</v>
      </c>
      <c r="B6" s="7" t="s">
        <v>36</v>
      </c>
      <c r="C6" s="4">
        <f>COUNTIF(DATA_SURAT_PELANTIKAN!$G$2:$G$55,B6)</f>
        <v>0</v>
      </c>
      <c r="D6" s="4">
        <f>COUNTIF(DATA_SURAT_PELANTIKAN!$H$2:$H$55,B6)</f>
        <v>0</v>
      </c>
      <c r="E6" s="4">
        <f>COUNTIF(DATA_SURAT_PELANTIKAN!$I$2:$I$55,B6)</f>
        <v>8</v>
      </c>
      <c r="F6" s="4">
        <f>COUNTIF(DATA_SURAT_PELANTIKAN!$J$2:$J$55,B6)</f>
        <v>2</v>
      </c>
      <c r="G6" s="6">
        <f t="shared" si="0"/>
        <v>10</v>
      </c>
      <c r="H6" s="4">
        <f>COUNTIF(DATA_SURAT_PELANTIKAN!$G$56:$G$132,B6)</f>
        <v>0</v>
      </c>
      <c r="I6" s="4">
        <f>COUNTIF(DATA_SURAT_PELANTIKAN!$H$56:$H$132,B6)</f>
        <v>0</v>
      </c>
      <c r="J6" s="4">
        <f>COUNTIF(DATA_SURAT_PELANTIKAN!$I$56:$I$132,B6)</f>
        <v>0</v>
      </c>
      <c r="K6" s="4">
        <f>COUNTIF(DATA_SURAT_PELANTIKAN!$J$56:$J$132,B6)</f>
        <v>0</v>
      </c>
      <c r="L6" s="6">
        <f t="shared" ref="L6:L93" si="1">SUM(H6:K6)</f>
        <v>0</v>
      </c>
    </row>
    <row r="7" spans="1:12" ht="27.75" customHeight="1">
      <c r="A7" s="4">
        <v>3</v>
      </c>
      <c r="B7" s="7" t="s">
        <v>355</v>
      </c>
      <c r="C7" s="4">
        <f>COUNTIF(DATA_SURAT_PELANTIKAN!$G$2:$G$55,B7)</f>
        <v>3</v>
      </c>
      <c r="D7" s="4">
        <f>COUNTIF(DATA_SURAT_PELANTIKAN!$H$2:$H$55,B7)</f>
        <v>0</v>
      </c>
      <c r="E7" s="4">
        <f>COUNTIF(DATA_SURAT_PELANTIKAN!$I$2:$I$55,B7)</f>
        <v>1</v>
      </c>
      <c r="F7" s="4">
        <f>COUNTIF(DATA_SURAT_PELANTIKAN!$J$2:$J$55,B7)</f>
        <v>0</v>
      </c>
      <c r="G7" s="6">
        <f t="shared" si="0"/>
        <v>4</v>
      </c>
      <c r="H7" s="4">
        <f>COUNTIF(DATA_SURAT_PELANTIKAN!$G$56:$G$132,B7)</f>
        <v>0</v>
      </c>
      <c r="I7" s="4">
        <f>COUNTIF(DATA_SURAT_PELANTIKAN!$H$56:$H$132,B7)</f>
        <v>0</v>
      </c>
      <c r="J7" s="4">
        <f>COUNTIF(DATA_SURAT_PELANTIKAN!$I$56:$I$132,B7)</f>
        <v>3</v>
      </c>
      <c r="K7" s="4">
        <f>COUNTIF(DATA_SURAT_PELANTIKAN!$J$56:$J$132,B7)</f>
        <v>0</v>
      </c>
      <c r="L7" s="6">
        <f t="shared" si="1"/>
        <v>3</v>
      </c>
    </row>
    <row r="8" spans="1:12" ht="27.75" customHeight="1">
      <c r="A8" s="4">
        <v>4</v>
      </c>
      <c r="B8" s="7" t="s">
        <v>35</v>
      </c>
      <c r="C8" s="4">
        <f>COUNTIF(DATA_SURAT_PELANTIKAN!$G$2:$G$55,B8)</f>
        <v>0</v>
      </c>
      <c r="D8" s="4">
        <f>COUNTIF(DATA_SURAT_PELANTIKAN!$H$2:$H$55,B8)</f>
        <v>0</v>
      </c>
      <c r="E8" s="4">
        <f>COUNTIF(DATA_SURAT_PELANTIKAN!$I$2:$I$55,B8)</f>
        <v>4</v>
      </c>
      <c r="F8" s="4">
        <f>COUNTIF(DATA_SURAT_PELANTIKAN!$J$2:$J$55,B8)</f>
        <v>1</v>
      </c>
      <c r="G8" s="6">
        <f t="shared" si="0"/>
        <v>5</v>
      </c>
      <c r="H8" s="4">
        <f>COUNTIF(DATA_SURAT_PELANTIKAN!$G$56:$G$132,B8)</f>
        <v>0</v>
      </c>
      <c r="I8" s="4">
        <f>COUNTIF(DATA_SURAT_PELANTIKAN!$H$56:$H$132,B8)</f>
        <v>0</v>
      </c>
      <c r="J8" s="4">
        <f>COUNTIF(DATA_SURAT_PELANTIKAN!$I$56:$I$132,B8)</f>
        <v>5</v>
      </c>
      <c r="K8" s="4">
        <f>COUNTIF(DATA_SURAT_PELANTIKAN!$J$56:$J$132,B8)</f>
        <v>1</v>
      </c>
      <c r="L8" s="6">
        <f t="shared" si="1"/>
        <v>6</v>
      </c>
    </row>
    <row r="9" spans="1:12" ht="27.75" customHeight="1">
      <c r="A9" s="4">
        <v>5</v>
      </c>
      <c r="B9" s="8" t="s">
        <v>356</v>
      </c>
      <c r="C9" s="4">
        <f>COUNTIF(DATA_SURAT_PELANTIKAN!$G$2:$G$55,B9)</f>
        <v>0</v>
      </c>
      <c r="D9" s="4">
        <f>COUNTIF(DATA_SURAT_PELANTIKAN!$H$2:$H$55,B9)</f>
        <v>0</v>
      </c>
      <c r="E9" s="4">
        <f>COUNTIF(DATA_SURAT_PELANTIKAN!$I$2:$I$55,B9)</f>
        <v>0</v>
      </c>
      <c r="F9" s="4">
        <f>COUNTIF(DATA_SURAT_PELANTIKAN!$J$2:$J$55,B9)</f>
        <v>0</v>
      </c>
      <c r="G9" s="6">
        <f t="shared" si="0"/>
        <v>0</v>
      </c>
      <c r="H9" s="4">
        <f>COUNTIF(DATA_SURAT_PELANTIKAN!$G$56:$G$132,B9)</f>
        <v>0</v>
      </c>
      <c r="I9" s="4">
        <f>COUNTIF(DATA_SURAT_PELANTIKAN!$H$56:$H$132,B9)</f>
        <v>0</v>
      </c>
      <c r="J9" s="4">
        <f>COUNTIF(DATA_SURAT_PELANTIKAN!$I$56:$I$132,B9)</f>
        <v>0</v>
      </c>
      <c r="K9" s="4">
        <f>COUNTIF(DATA_SURAT_PELANTIKAN!$J$56:$J$132,B9)</f>
        <v>0</v>
      </c>
      <c r="L9" s="6">
        <f t="shared" si="1"/>
        <v>0</v>
      </c>
    </row>
    <row r="10" spans="1:12" ht="27.75" customHeight="1">
      <c r="A10" s="4">
        <v>6</v>
      </c>
      <c r="B10" s="7" t="s">
        <v>13</v>
      </c>
      <c r="C10" s="4">
        <f>COUNTIF(DATA_SURAT_PELANTIKAN!$G$2:$G$55,B10)</f>
        <v>2</v>
      </c>
      <c r="D10" s="4">
        <f>COUNTIF(DATA_SURAT_PELANTIKAN!$H$2:$H$55,B10)</f>
        <v>0</v>
      </c>
      <c r="E10" s="4">
        <f>COUNTIF(DATA_SURAT_PELANTIKAN!$I$2:$I$55,B10)</f>
        <v>4</v>
      </c>
      <c r="F10" s="4">
        <f>COUNTIF(DATA_SURAT_PELANTIKAN!$J$2:$J$55,B10)</f>
        <v>2</v>
      </c>
      <c r="G10" s="6">
        <f t="shared" si="0"/>
        <v>8</v>
      </c>
      <c r="H10" s="4">
        <f>COUNTIF(DATA_SURAT_PELANTIKAN!$G$56:$G$132,B10)</f>
        <v>0</v>
      </c>
      <c r="I10" s="4">
        <f>COUNTIF(DATA_SURAT_PELANTIKAN!$H$56:$H$132,B10)</f>
        <v>0</v>
      </c>
      <c r="J10" s="4">
        <f>COUNTIF(DATA_SURAT_PELANTIKAN!$I$56:$I$132,B10)</f>
        <v>5</v>
      </c>
      <c r="K10" s="4">
        <f>COUNTIF(DATA_SURAT_PELANTIKAN!$J$56:$J$132,B10)</f>
        <v>1</v>
      </c>
      <c r="L10" s="6">
        <f t="shared" si="1"/>
        <v>6</v>
      </c>
    </row>
    <row r="11" spans="1:12" ht="27.75" customHeight="1">
      <c r="A11" s="4">
        <v>7</v>
      </c>
      <c r="B11" s="7" t="s">
        <v>17</v>
      </c>
      <c r="C11" s="4">
        <f>COUNTIF(DATA_SURAT_PELANTIKAN!$G$2:$G$55,B11)</f>
        <v>4</v>
      </c>
      <c r="D11" s="4">
        <f>COUNTIF(DATA_SURAT_PELANTIKAN!$H$2:$H$55,B11)</f>
        <v>0</v>
      </c>
      <c r="E11" s="4">
        <f>COUNTIF(DATA_SURAT_PELANTIKAN!$I$2:$I$55,B11)</f>
        <v>0</v>
      </c>
      <c r="F11" s="4">
        <f>COUNTIF(DATA_SURAT_PELANTIKAN!$J$2:$J$55,B11)</f>
        <v>0</v>
      </c>
      <c r="G11" s="6">
        <f t="shared" si="0"/>
        <v>4</v>
      </c>
      <c r="H11" s="4">
        <f>COUNTIF(DATA_SURAT_PELANTIKAN!$G$56:$G$132,B11)</f>
        <v>5</v>
      </c>
      <c r="I11" s="4">
        <f>COUNTIF(DATA_SURAT_PELANTIKAN!$H$56:$H$132,B11)</f>
        <v>0</v>
      </c>
      <c r="J11" s="4">
        <f>COUNTIF(DATA_SURAT_PELANTIKAN!$I$56:$I$132,B11)</f>
        <v>5</v>
      </c>
      <c r="K11" s="4">
        <f>COUNTIF(DATA_SURAT_PELANTIKAN!$J$56:$J$132,B11)</f>
        <v>1</v>
      </c>
      <c r="L11" s="6">
        <f t="shared" si="1"/>
        <v>11</v>
      </c>
    </row>
    <row r="12" spans="1:12" ht="27.75" customHeight="1">
      <c r="A12" s="4">
        <v>8</v>
      </c>
      <c r="B12" s="7" t="s">
        <v>14</v>
      </c>
      <c r="C12" s="4">
        <f>COUNTIF(DATA_SURAT_PELANTIKAN!$G$2:$G$55,B12)</f>
        <v>2</v>
      </c>
      <c r="D12" s="4">
        <f>COUNTIF(DATA_SURAT_PELANTIKAN!$H$2:$H$55,B12)</f>
        <v>0</v>
      </c>
      <c r="E12" s="4">
        <f>COUNTIF(DATA_SURAT_PELANTIKAN!$I$2:$I$55,B12)</f>
        <v>2</v>
      </c>
      <c r="F12" s="4">
        <f>COUNTIF(DATA_SURAT_PELANTIKAN!$J$2:$J$55,B12)</f>
        <v>2</v>
      </c>
      <c r="G12" s="6">
        <f t="shared" si="0"/>
        <v>6</v>
      </c>
      <c r="H12" s="4">
        <f>COUNTIF(DATA_SURAT_PELANTIKAN!$G$56:$G$132,B12)</f>
        <v>2</v>
      </c>
      <c r="I12" s="4">
        <f>COUNTIF(DATA_SURAT_PELANTIKAN!$H$56:$H$132,B12)</f>
        <v>0</v>
      </c>
      <c r="J12" s="4">
        <f>COUNTIF(DATA_SURAT_PELANTIKAN!$I$56:$I$132,B12)</f>
        <v>4</v>
      </c>
      <c r="K12" s="4">
        <f>COUNTIF(DATA_SURAT_PELANTIKAN!$J$56:$J$132,B12)</f>
        <v>0</v>
      </c>
      <c r="L12" s="6">
        <f t="shared" si="1"/>
        <v>6</v>
      </c>
    </row>
    <row r="13" spans="1:12" ht="27.75" customHeight="1">
      <c r="A13" s="4">
        <v>9</v>
      </c>
      <c r="B13" s="7" t="s">
        <v>25</v>
      </c>
      <c r="C13" s="4">
        <f>COUNTIF(DATA_SURAT_PELANTIKAN!$G$2:$G$55,B13)</f>
        <v>0</v>
      </c>
      <c r="D13" s="4">
        <f>COUNTIF(DATA_SURAT_PELANTIKAN!$H$2:$H$55,B13)</f>
        <v>0</v>
      </c>
      <c r="E13" s="4">
        <f>COUNTIF(DATA_SURAT_PELANTIKAN!$I$2:$I$55,B13)</f>
        <v>3</v>
      </c>
      <c r="F13" s="4">
        <f>COUNTIF(DATA_SURAT_PELANTIKAN!$J$2:$J$55,B13)</f>
        <v>1</v>
      </c>
      <c r="G13" s="6">
        <f t="shared" si="0"/>
        <v>4</v>
      </c>
      <c r="H13" s="4">
        <f>COUNTIF(DATA_SURAT_PELANTIKAN!$G$56:$G$132,B13)</f>
        <v>0</v>
      </c>
      <c r="I13" s="4">
        <f>COUNTIF(DATA_SURAT_PELANTIKAN!$H$56:$H$132,B13)</f>
        <v>0</v>
      </c>
      <c r="J13" s="4">
        <f>COUNTIF(DATA_SURAT_PELANTIKAN!$I$56:$I$132,B13)</f>
        <v>2</v>
      </c>
      <c r="K13" s="4">
        <f>COUNTIF(DATA_SURAT_PELANTIKAN!$J$56:$J$132,B13)</f>
        <v>4</v>
      </c>
      <c r="L13" s="6">
        <f t="shared" si="1"/>
        <v>6</v>
      </c>
    </row>
    <row r="14" spans="1:12" ht="27.75" customHeight="1">
      <c r="A14" s="4">
        <v>10</v>
      </c>
      <c r="B14" s="7" t="s">
        <v>53</v>
      </c>
      <c r="C14" s="4">
        <f>COUNTIF(DATA_SURAT_PELANTIKAN!$G$2:$G$55,B14)</f>
        <v>1</v>
      </c>
      <c r="D14" s="4">
        <f>COUNTIF(DATA_SURAT_PELANTIKAN!$H$2:$H$55,B14)</f>
        <v>0</v>
      </c>
      <c r="E14" s="4">
        <f>COUNTIF(DATA_SURAT_PELANTIKAN!$I$2:$I$55,B14)</f>
        <v>2</v>
      </c>
      <c r="F14" s="4">
        <f>COUNTIF(DATA_SURAT_PELANTIKAN!$J$2:$J$55,B14)</f>
        <v>1</v>
      </c>
      <c r="G14" s="6">
        <f t="shared" si="0"/>
        <v>4</v>
      </c>
      <c r="H14" s="4">
        <f>COUNTIF(DATA_SURAT_PELANTIKAN!$G$56:$G$132,B14)</f>
        <v>1</v>
      </c>
      <c r="I14" s="4">
        <f>COUNTIF(DATA_SURAT_PELANTIKAN!$H$56:$H$132,B14)</f>
        <v>0</v>
      </c>
      <c r="J14" s="4">
        <f>COUNTIF(DATA_SURAT_PELANTIKAN!$I$56:$I$132,B14)</f>
        <v>3</v>
      </c>
      <c r="K14" s="4">
        <f>COUNTIF(DATA_SURAT_PELANTIKAN!$J$56:$J$132,B14)</f>
        <v>0</v>
      </c>
      <c r="L14" s="6">
        <f t="shared" si="1"/>
        <v>4</v>
      </c>
    </row>
    <row r="15" spans="1:12" ht="27.75" customHeight="1">
      <c r="A15" s="4">
        <v>11</v>
      </c>
      <c r="B15" s="7" t="s">
        <v>357</v>
      </c>
      <c r="C15" s="4">
        <f>COUNTIF(DATA_SURAT_PELANTIKAN!$G$2:$G$55,B15)</f>
        <v>0</v>
      </c>
      <c r="D15" s="4">
        <f>COUNTIF(DATA_SURAT_PELANTIKAN!$H$2:$H$55,B15)</f>
        <v>0</v>
      </c>
      <c r="E15" s="4">
        <f>COUNTIF(DATA_SURAT_PELANTIKAN!$I$2:$I$55,B15)</f>
        <v>1</v>
      </c>
      <c r="F15" s="4">
        <f>COUNTIF(DATA_SURAT_PELANTIKAN!$J$2:$J$55,B15)</f>
        <v>1</v>
      </c>
      <c r="G15" s="6">
        <f t="shared" si="0"/>
        <v>2</v>
      </c>
      <c r="H15" s="4">
        <f>COUNTIF(DATA_SURAT_PELANTIKAN!$G$56:$G$132,B15)</f>
        <v>0</v>
      </c>
      <c r="I15" s="4">
        <f>COUNTIF(DATA_SURAT_PELANTIKAN!$H$56:$H$132,B15)</f>
        <v>0</v>
      </c>
      <c r="J15" s="4">
        <f>COUNTIF(DATA_SURAT_PELANTIKAN!$I$56:$I$132,B15)</f>
        <v>1</v>
      </c>
      <c r="K15" s="4">
        <f>COUNTIF(DATA_SURAT_PELANTIKAN!$J$56:$J$132,B15)</f>
        <v>0</v>
      </c>
      <c r="L15" s="6">
        <f t="shared" si="1"/>
        <v>1</v>
      </c>
    </row>
    <row r="16" spans="1:12" ht="27.75" customHeight="1">
      <c r="A16" s="4">
        <v>12</v>
      </c>
      <c r="B16" s="7" t="s">
        <v>58</v>
      </c>
      <c r="C16" s="4">
        <f>COUNTIF(DATA_SURAT_PELANTIKAN!$G$2:$G$55,B16)</f>
        <v>0</v>
      </c>
      <c r="D16" s="4">
        <f>COUNTIF(DATA_SURAT_PELANTIKAN!$H$2:$H$55,B16)</f>
        <v>0</v>
      </c>
      <c r="E16" s="4">
        <f>COUNTIF(DATA_SURAT_PELANTIKAN!$I$2:$I$55,B16)</f>
        <v>0</v>
      </c>
      <c r="F16" s="4">
        <f>COUNTIF(DATA_SURAT_PELANTIKAN!$J$2:$J$55,B16)</f>
        <v>2</v>
      </c>
      <c r="G16" s="6">
        <f t="shared" si="0"/>
        <v>2</v>
      </c>
      <c r="H16" s="4">
        <f>COUNTIF(DATA_SURAT_PELANTIKAN!$G$56:$G$132,B16)</f>
        <v>0</v>
      </c>
      <c r="I16" s="4">
        <f>COUNTIF(DATA_SURAT_PELANTIKAN!$H$56:$H$132,B16)</f>
        <v>0</v>
      </c>
      <c r="J16" s="4">
        <f>COUNTIF(DATA_SURAT_PELANTIKAN!$I$56:$I$132,B16)</f>
        <v>2</v>
      </c>
      <c r="K16" s="4">
        <f>COUNTIF(DATA_SURAT_PELANTIKAN!$J$56:$J$132,B16)</f>
        <v>0</v>
      </c>
      <c r="L16" s="6">
        <f t="shared" si="1"/>
        <v>2</v>
      </c>
    </row>
    <row r="17" spans="1:12" ht="27.75" customHeight="1">
      <c r="A17" s="35">
        <v>13</v>
      </c>
      <c r="B17" s="36" t="s">
        <v>172</v>
      </c>
      <c r="C17" s="35">
        <f>COUNTIF(DATA_SURAT_PELANTIKAN!$G$2:$G$55,B17)</f>
        <v>0</v>
      </c>
      <c r="D17" s="35">
        <f>COUNTIF(DATA_SURAT_PELANTIKAN!$H$2:$H$55,B17)</f>
        <v>0</v>
      </c>
      <c r="E17" s="35">
        <f>COUNTIF(DATA_SURAT_PELANTIKAN!$I$2:$I$55,B17)</f>
        <v>3</v>
      </c>
      <c r="F17" s="35">
        <f>COUNTIF(DATA_SURAT_PELANTIKAN!$J$2:$J$55,B17)</f>
        <v>0</v>
      </c>
      <c r="G17" s="37">
        <f t="shared" si="0"/>
        <v>3</v>
      </c>
      <c r="H17" s="35">
        <f>COUNTIF(DATA_SURAT_PELANTIKAN!$G$56:$G$132,B17)</f>
        <v>0</v>
      </c>
      <c r="I17" s="35">
        <f>COUNTIF(DATA_SURAT_PELANTIKAN!$H$56:$H$132,B17)</f>
        <v>0</v>
      </c>
      <c r="J17" s="35">
        <f>COUNTIF(DATA_SURAT_PELANTIKAN!$I$56:$I$132,B17)</f>
        <v>0</v>
      </c>
      <c r="K17" s="35">
        <f>COUNTIF(DATA_SURAT_PELANTIKAN!$J$56:$J$132,B17)</f>
        <v>0</v>
      </c>
      <c r="L17" s="37">
        <f t="shared" si="1"/>
        <v>0</v>
      </c>
    </row>
    <row r="18" spans="1:12" ht="27.75" customHeight="1">
      <c r="A18" s="38">
        <v>14</v>
      </c>
      <c r="B18" s="39" t="s">
        <v>65</v>
      </c>
      <c r="C18" s="38">
        <f>COUNTIF(DATA_SURAT_PELANTIKAN!$G$2:$G$55,B18)</f>
        <v>1</v>
      </c>
      <c r="D18" s="38">
        <f>COUNTIF(DATA_SURAT_PELANTIKAN!$H$2:$H$55,B18)</f>
        <v>0</v>
      </c>
      <c r="E18" s="38">
        <f>COUNTIF(DATA_SURAT_PELANTIKAN!$I$2:$I$55,B18)</f>
        <v>1</v>
      </c>
      <c r="F18" s="38">
        <f>COUNTIF(DATA_SURAT_PELANTIKAN!$J$2:$J$55,B18)</f>
        <v>1</v>
      </c>
      <c r="G18" s="40">
        <f t="shared" si="0"/>
        <v>3</v>
      </c>
      <c r="H18" s="38">
        <f>COUNTIF(DATA_SURAT_PELANTIKAN!$G$56:$G$132,B18)</f>
        <v>0</v>
      </c>
      <c r="I18" s="38">
        <f>COUNTIF(DATA_SURAT_PELANTIKAN!$H$56:$H$132,B18)</f>
        <v>0</v>
      </c>
      <c r="J18" s="38">
        <f>COUNTIF(DATA_SURAT_PELANTIKAN!$I$56:$I$132,B18)</f>
        <v>1</v>
      </c>
      <c r="K18" s="38">
        <f>COUNTIF(DATA_SURAT_PELANTIKAN!$J$56:$J$132,B18)</f>
        <v>0</v>
      </c>
      <c r="L18" s="40">
        <f t="shared" si="1"/>
        <v>1</v>
      </c>
    </row>
    <row r="19" spans="1:12" ht="28.5" customHeight="1">
      <c r="A19" s="4">
        <v>15</v>
      </c>
      <c r="B19" s="7" t="s">
        <v>93</v>
      </c>
      <c r="C19" s="4">
        <f>COUNTIF(DATA_SURAT_PELANTIKAN!$G$2:$G$55,B19)</f>
        <v>0</v>
      </c>
      <c r="D19" s="4">
        <f>COUNTIF(DATA_SURAT_PELANTIKAN!$H$2:$H$55,B19)</f>
        <v>0</v>
      </c>
      <c r="E19" s="4">
        <f>COUNTIF(DATA_SURAT_PELANTIKAN!$I$2:$I$55,B19)</f>
        <v>2</v>
      </c>
      <c r="F19" s="4">
        <f>COUNTIF(DATA_SURAT_PELANTIKAN!$J$2:$J$55,B19)</f>
        <v>1</v>
      </c>
      <c r="G19" s="6">
        <f t="shared" si="0"/>
        <v>3</v>
      </c>
      <c r="H19" s="4">
        <f>COUNTIF(DATA_SURAT_PELANTIKAN!$G$56:$G$132,B19)</f>
        <v>3</v>
      </c>
      <c r="I19" s="4">
        <f>COUNTIF(DATA_SURAT_PELANTIKAN!$H$56:$H$132,B19)</f>
        <v>0</v>
      </c>
      <c r="J19" s="4">
        <f>COUNTIF(DATA_SURAT_PELANTIKAN!$I$56:$I$132,B19)</f>
        <v>3</v>
      </c>
      <c r="K19" s="4">
        <f>COUNTIF(DATA_SURAT_PELANTIKAN!$J$56:$J$132,B19)</f>
        <v>0</v>
      </c>
      <c r="L19" s="6">
        <f t="shared" si="1"/>
        <v>6</v>
      </c>
    </row>
    <row r="20" spans="1:12" ht="28.5" customHeight="1">
      <c r="A20" s="4">
        <v>16</v>
      </c>
      <c r="B20" s="7" t="s">
        <v>97</v>
      </c>
      <c r="C20" s="4">
        <f>COUNTIF(DATA_SURAT_PELANTIKAN!$G$2:$G$55,B20)</f>
        <v>1</v>
      </c>
      <c r="D20" s="4">
        <f>COUNTIF(DATA_SURAT_PELANTIKAN!$H$2:$H$55,B20)</f>
        <v>0</v>
      </c>
      <c r="E20" s="4">
        <f>COUNTIF(DATA_SURAT_PELANTIKAN!$I$2:$I$55,B20)</f>
        <v>1</v>
      </c>
      <c r="F20" s="4">
        <f>COUNTIF(DATA_SURAT_PELANTIKAN!$J$2:$J$55,B20)</f>
        <v>0</v>
      </c>
      <c r="G20" s="6">
        <f t="shared" si="0"/>
        <v>2</v>
      </c>
      <c r="H20" s="4">
        <f>COUNTIF(DATA_SURAT_PELANTIKAN!$G$56:$G$132,B20)</f>
        <v>2</v>
      </c>
      <c r="I20" s="4">
        <f>COUNTIF(DATA_SURAT_PELANTIKAN!$H$56:$H$132,B20)</f>
        <v>0</v>
      </c>
      <c r="J20" s="4">
        <f>COUNTIF(DATA_SURAT_PELANTIKAN!$I$56:$I$132,B20)</f>
        <v>3</v>
      </c>
      <c r="K20" s="4">
        <f>COUNTIF(DATA_SURAT_PELANTIKAN!$J$56:$J$132,B20)</f>
        <v>0</v>
      </c>
      <c r="L20" s="6">
        <f t="shared" si="1"/>
        <v>5</v>
      </c>
    </row>
    <row r="21" spans="1:12" ht="28.5" customHeight="1">
      <c r="A21" s="4">
        <v>17</v>
      </c>
      <c r="B21" s="8" t="s">
        <v>122</v>
      </c>
      <c r="C21" s="4">
        <f>COUNTIF(DATA_SURAT_PELANTIKAN!$G$2:$G$55,B21)</f>
        <v>0</v>
      </c>
      <c r="D21" s="4">
        <f>COUNTIF(DATA_SURAT_PELANTIKAN!$H$2:$H$55,B21)</f>
        <v>0</v>
      </c>
      <c r="E21" s="4">
        <f>COUNTIF(DATA_SURAT_PELANTIKAN!$I$2:$I$55,B21)</f>
        <v>2</v>
      </c>
      <c r="F21" s="4">
        <f>COUNTIF(DATA_SURAT_PELANTIKAN!$J$2:$J$55,B21)</f>
        <v>0</v>
      </c>
      <c r="G21" s="6">
        <f t="shared" si="0"/>
        <v>2</v>
      </c>
      <c r="H21" s="4">
        <f>COUNTIF(DATA_SURAT_PELANTIKAN!$G$56:$G$132,B21)</f>
        <v>0</v>
      </c>
      <c r="I21" s="4">
        <f>COUNTIF(DATA_SURAT_PELANTIKAN!$H$56:$H$132,B21)</f>
        <v>0</v>
      </c>
      <c r="J21" s="4">
        <f>COUNTIF(DATA_SURAT_PELANTIKAN!$I$56:$I$132,B21)</f>
        <v>3</v>
      </c>
      <c r="K21" s="4">
        <f>COUNTIF(DATA_SURAT_PELANTIKAN!$J$56:$J$132,B21)</f>
        <v>0</v>
      </c>
      <c r="L21" s="6">
        <f t="shared" si="1"/>
        <v>3</v>
      </c>
    </row>
    <row r="22" spans="1:12" ht="28.5" customHeight="1">
      <c r="A22" s="4">
        <v>18</v>
      </c>
      <c r="B22" s="9" t="s">
        <v>144</v>
      </c>
      <c r="C22" s="4">
        <f>COUNTIF(DATA_SURAT_PELANTIKAN!$G$2:$G$55,B22)</f>
        <v>2</v>
      </c>
      <c r="D22" s="4">
        <f>COUNTIF(DATA_SURAT_PELANTIKAN!$H$2:$H$55,B22)</f>
        <v>0</v>
      </c>
      <c r="E22" s="4">
        <f>COUNTIF(DATA_SURAT_PELANTIKAN!$I$2:$I$55,B22)</f>
        <v>0</v>
      </c>
      <c r="F22" s="4">
        <f>COUNTIF(DATA_SURAT_PELANTIKAN!$J$2:$J$55,B22)</f>
        <v>0</v>
      </c>
      <c r="G22" s="6">
        <f t="shared" si="0"/>
        <v>2</v>
      </c>
      <c r="H22" s="4">
        <f>COUNTIF(DATA_SURAT_PELANTIKAN!$G$56:$G$132,B22)</f>
        <v>2</v>
      </c>
      <c r="I22" s="4">
        <f>COUNTIF(DATA_SURAT_PELANTIKAN!$H$56:$H$132,B22)</f>
        <v>0</v>
      </c>
      <c r="J22" s="4">
        <f>COUNTIF(DATA_SURAT_PELANTIKAN!$I$56:$I$132,B22)</f>
        <v>2</v>
      </c>
      <c r="K22" s="4">
        <f>COUNTIF(DATA_SURAT_PELANTIKAN!$J$56:$J$132,B22)</f>
        <v>1</v>
      </c>
      <c r="L22" s="6">
        <f t="shared" si="1"/>
        <v>5</v>
      </c>
    </row>
    <row r="23" spans="1:12" ht="28.5" customHeight="1">
      <c r="A23" s="4">
        <v>19</v>
      </c>
      <c r="B23" s="7" t="s">
        <v>162</v>
      </c>
      <c r="C23" s="4">
        <f>COUNTIF(DATA_SURAT_PELANTIKAN!$G$2:$G$55,B23)</f>
        <v>0</v>
      </c>
      <c r="D23" s="4">
        <f>COUNTIF(DATA_SURAT_PELANTIKAN!$H$2:$H$55,B23)</f>
        <v>0</v>
      </c>
      <c r="E23" s="4">
        <f>COUNTIF(DATA_SURAT_PELANTIKAN!$I$2:$I$55,B23)</f>
        <v>1</v>
      </c>
      <c r="F23" s="4">
        <f>COUNTIF(DATA_SURAT_PELANTIKAN!$J$2:$J$55,B23)</f>
        <v>0</v>
      </c>
      <c r="G23" s="6">
        <f t="shared" si="0"/>
        <v>1</v>
      </c>
      <c r="H23" s="4">
        <f>COUNTIF(DATA_SURAT_PELANTIKAN!$G$56:$G$132,B23)</f>
        <v>1</v>
      </c>
      <c r="I23" s="4">
        <f>COUNTIF(DATA_SURAT_PELANTIKAN!$H$56:$H$132,B23)</f>
        <v>0</v>
      </c>
      <c r="J23" s="4">
        <f>COUNTIF(DATA_SURAT_PELANTIKAN!$I$56:$I$132,B23)</f>
        <v>5</v>
      </c>
      <c r="K23" s="4">
        <f>COUNTIF(DATA_SURAT_PELANTIKAN!$J$56:$J$132,B23)</f>
        <v>1</v>
      </c>
      <c r="L23" s="6">
        <f t="shared" si="1"/>
        <v>7</v>
      </c>
    </row>
    <row r="24" spans="1:12" ht="28.5" customHeight="1">
      <c r="A24" s="4">
        <v>20</v>
      </c>
      <c r="B24" s="7" t="s">
        <v>205</v>
      </c>
      <c r="C24" s="4">
        <f>COUNTIF(DATA_SURAT_PELANTIKAN!$G$2:$G$55,B24)</f>
        <v>0</v>
      </c>
      <c r="D24" s="4">
        <f>COUNTIF(DATA_SURAT_PELANTIKAN!$H$2:$H$55,B24)</f>
        <v>0</v>
      </c>
      <c r="E24" s="4">
        <f>COUNTIF(DATA_SURAT_PELANTIKAN!$I$2:$I$55,B24)</f>
        <v>0</v>
      </c>
      <c r="F24" s="4">
        <f>COUNTIF(DATA_SURAT_PELANTIKAN!$J$2:$J$55,B24)</f>
        <v>0</v>
      </c>
      <c r="G24" s="6">
        <f t="shared" si="0"/>
        <v>0</v>
      </c>
      <c r="H24" s="4">
        <f>COUNTIF(DATA_SURAT_PELANTIKAN!$G$56:$G$132,B24)</f>
        <v>2</v>
      </c>
      <c r="I24" s="4">
        <f>COUNTIF(DATA_SURAT_PELANTIKAN!$H$56:$H$132,B24)</f>
        <v>0</v>
      </c>
      <c r="J24" s="4">
        <f>COUNTIF(DATA_SURAT_PELANTIKAN!$I$56:$I$132,B24)</f>
        <v>1</v>
      </c>
      <c r="K24" s="4">
        <f>COUNTIF(DATA_SURAT_PELANTIKAN!$J$56:$J$132,B24)</f>
        <v>0</v>
      </c>
      <c r="L24" s="6">
        <f t="shared" si="1"/>
        <v>3</v>
      </c>
    </row>
    <row r="25" spans="1:12" ht="28.5" customHeight="1">
      <c r="A25" s="4">
        <v>21</v>
      </c>
      <c r="B25" s="9" t="s">
        <v>217</v>
      </c>
      <c r="C25" s="4">
        <f>COUNTIF(DATA_SURAT_PELANTIKAN!$G$2:$G$55,B25)</f>
        <v>0</v>
      </c>
      <c r="D25" s="4">
        <f>COUNTIF(DATA_SURAT_PELANTIKAN!$H$2:$H$55,B25)</f>
        <v>0</v>
      </c>
      <c r="E25" s="4">
        <f>COUNTIF(DATA_SURAT_PELANTIKAN!$I$2:$I$55,B25)</f>
        <v>0</v>
      </c>
      <c r="F25" s="4">
        <f>COUNTIF(DATA_SURAT_PELANTIKAN!$J$2:$J$55,B25)</f>
        <v>0</v>
      </c>
      <c r="G25" s="6">
        <f t="shared" si="0"/>
        <v>0</v>
      </c>
      <c r="H25" s="4">
        <f>COUNTIF(DATA_SURAT_PELANTIKAN!$G$56:$G$132,B25)</f>
        <v>4</v>
      </c>
      <c r="I25" s="4">
        <f>COUNTIF(DATA_SURAT_PELANTIKAN!$H$56:$H$132,B25)</f>
        <v>0</v>
      </c>
      <c r="J25" s="4">
        <f>COUNTIF(DATA_SURAT_PELANTIKAN!$I$56:$I$132,B25)</f>
        <v>0</v>
      </c>
      <c r="K25" s="4">
        <f>COUNTIF(DATA_SURAT_PELANTIKAN!$J$56:$J$132,B25)</f>
        <v>0</v>
      </c>
      <c r="L25" s="6">
        <f t="shared" si="1"/>
        <v>4</v>
      </c>
    </row>
    <row r="26" spans="1:12" ht="28.5" customHeight="1">
      <c r="A26" s="4">
        <v>22</v>
      </c>
      <c r="B26" s="5" t="s">
        <v>4</v>
      </c>
      <c r="C26" s="4">
        <f>COUNTIF(DATA_SURAT_PELANTIKAN!$G$2:$G$55,B26)</f>
        <v>2</v>
      </c>
      <c r="D26" s="4">
        <f>COUNTIF(DATA_SURAT_PELANTIKAN!$H$2:$H$55,B26)</f>
        <v>0</v>
      </c>
      <c r="E26" s="4">
        <f>COUNTIF(DATA_SURAT_PELANTIKAN!$I$2:$I$55,B26)</f>
        <v>0</v>
      </c>
      <c r="F26" s="4">
        <f>COUNTIF(DATA_SURAT_PELANTIKAN!$J$2:$J$55,B26)</f>
        <v>0</v>
      </c>
      <c r="G26" s="6">
        <f t="shared" si="0"/>
        <v>2</v>
      </c>
      <c r="H26" s="4">
        <f>COUNTIF(DATA_SURAT_PELANTIKAN!$G$56:$G$132,B26)</f>
        <v>2</v>
      </c>
      <c r="I26" s="4">
        <f>COUNTIF(DATA_SURAT_PELANTIKAN!$H$56:$H$132,B26)</f>
        <v>0</v>
      </c>
      <c r="J26" s="4">
        <f>COUNTIF(DATA_SURAT_PELANTIKAN!$I$56:$I$132,B26)</f>
        <v>3</v>
      </c>
      <c r="K26" s="4">
        <f>COUNTIF(DATA_SURAT_PELANTIKAN!$J$56:$J$132,B26)</f>
        <v>4</v>
      </c>
      <c r="L26" s="6">
        <f t="shared" si="1"/>
        <v>9</v>
      </c>
    </row>
    <row r="27" spans="1:12" ht="28.5" customHeight="1">
      <c r="A27" s="4">
        <v>23</v>
      </c>
      <c r="B27" s="5" t="s">
        <v>358</v>
      </c>
      <c r="C27" s="4">
        <f>COUNTIF(DATA_SURAT_PELANTIKAN!$G$2:$G$55,B27)</f>
        <v>4</v>
      </c>
      <c r="D27" s="4">
        <f>COUNTIF(DATA_SURAT_PELANTIKAN!$H$2:$H$55,B27)</f>
        <v>0</v>
      </c>
      <c r="E27" s="4">
        <f>COUNTIF(DATA_SURAT_PELANTIKAN!$I$2:$I$55,B27)</f>
        <v>0</v>
      </c>
      <c r="F27" s="4">
        <f>COUNTIF(DATA_SURAT_PELANTIKAN!$J$2:$J$55,B27)</f>
        <v>0</v>
      </c>
      <c r="G27" s="6">
        <f t="shared" si="0"/>
        <v>4</v>
      </c>
      <c r="H27" s="4">
        <f>COUNTIF(DATA_SURAT_PELANTIKAN!$G$56:$G$132,B27)</f>
        <v>5</v>
      </c>
      <c r="I27" s="4">
        <f>COUNTIF(DATA_SURAT_PELANTIKAN!$H$56:$H$132,B27)</f>
        <v>2</v>
      </c>
      <c r="J27" s="4">
        <f>COUNTIF(DATA_SURAT_PELANTIKAN!$I$56:$I$132,B27)</f>
        <v>0</v>
      </c>
      <c r="K27" s="4">
        <f>COUNTIF(DATA_SURAT_PELANTIKAN!$J$56:$J$132,B27)</f>
        <v>0</v>
      </c>
      <c r="L27" s="6">
        <f t="shared" si="1"/>
        <v>7</v>
      </c>
    </row>
    <row r="28" spans="1:12" ht="28.5" customHeight="1">
      <c r="A28" s="4">
        <v>24</v>
      </c>
      <c r="B28" s="5" t="s">
        <v>5</v>
      </c>
      <c r="C28" s="4">
        <f>COUNTIF(DATA_SURAT_PELANTIKAN!$G$2:$G$55,B28)</f>
        <v>1</v>
      </c>
      <c r="D28" s="4">
        <f>COUNTIF(DATA_SURAT_PELANTIKAN!$H$2:$H$55,B28)</f>
        <v>2</v>
      </c>
      <c r="E28" s="4">
        <f>COUNTIF(DATA_SURAT_PELANTIKAN!$I$2:$I$55,B28)</f>
        <v>0</v>
      </c>
      <c r="F28" s="4">
        <f>COUNTIF(DATA_SURAT_PELANTIKAN!$J$2:$J$55,B28)</f>
        <v>2</v>
      </c>
      <c r="G28" s="6">
        <f t="shared" si="0"/>
        <v>5</v>
      </c>
      <c r="H28" s="4">
        <f>COUNTIF(DATA_SURAT_PELANTIKAN!$G$56:$G$132,B28)</f>
        <v>1</v>
      </c>
      <c r="I28" s="4">
        <f>COUNTIF(DATA_SURAT_PELANTIKAN!$H$56:$H$132,B28)</f>
        <v>1</v>
      </c>
      <c r="J28" s="4">
        <f>COUNTIF(DATA_SURAT_PELANTIKAN!$I$56:$I$132,B28)</f>
        <v>0</v>
      </c>
      <c r="K28" s="4">
        <f>COUNTIF(DATA_SURAT_PELANTIKAN!$J$56:$J$132,B28)</f>
        <v>3</v>
      </c>
      <c r="L28" s="6">
        <f t="shared" si="1"/>
        <v>5</v>
      </c>
    </row>
    <row r="29" spans="1:12" ht="28.5" customHeight="1">
      <c r="A29" s="4">
        <v>25</v>
      </c>
      <c r="B29" s="7" t="s">
        <v>7</v>
      </c>
      <c r="C29" s="4">
        <f>COUNTIF(DATA_SURAT_PELANTIKAN!$G$2:$G$55,B29)</f>
        <v>1</v>
      </c>
      <c r="D29" s="4">
        <f>COUNTIF(DATA_SURAT_PELANTIKAN!$H$2:$H$55,B29)</f>
        <v>2</v>
      </c>
      <c r="E29" s="4">
        <f>COUNTIF(DATA_SURAT_PELANTIKAN!$I$2:$I$55,B29)</f>
        <v>0</v>
      </c>
      <c r="F29" s="4">
        <f>COUNTIF(DATA_SURAT_PELANTIKAN!$J$2:$J$55,B29)</f>
        <v>3</v>
      </c>
      <c r="G29" s="6">
        <f t="shared" si="0"/>
        <v>6</v>
      </c>
      <c r="H29" s="4">
        <f>COUNTIF(DATA_SURAT_PELANTIKAN!$G$56:$G$132,B29)</f>
        <v>0</v>
      </c>
      <c r="I29" s="4">
        <f>COUNTIF(DATA_SURAT_PELANTIKAN!$H$56:$H$132,B29)</f>
        <v>2</v>
      </c>
      <c r="J29" s="4">
        <f>COUNTIF(DATA_SURAT_PELANTIKAN!$I$56:$I$132,B29)</f>
        <v>0</v>
      </c>
      <c r="K29" s="4">
        <f>COUNTIF(DATA_SURAT_PELANTIKAN!$J$56:$J$132,B29)</f>
        <v>5</v>
      </c>
      <c r="L29" s="6">
        <f t="shared" si="1"/>
        <v>7</v>
      </c>
    </row>
    <row r="30" spans="1:12" ht="28.5" customHeight="1">
      <c r="A30" s="4">
        <v>26</v>
      </c>
      <c r="B30" s="5" t="s">
        <v>359</v>
      </c>
      <c r="C30" s="4">
        <f>COUNTIF(DATA_SURAT_PELANTIKAN!$G$2:$G$55,B30)</f>
        <v>0</v>
      </c>
      <c r="D30" s="4">
        <f>COUNTIF(DATA_SURAT_PELANTIKAN!$H$2:$H$55,B30)</f>
        <v>2</v>
      </c>
      <c r="E30" s="4">
        <f>COUNTIF(DATA_SURAT_PELANTIKAN!$I$2:$I$55,B30)</f>
        <v>0</v>
      </c>
      <c r="F30" s="4">
        <f>COUNTIF(DATA_SURAT_PELANTIKAN!$J$2:$J$55,B30)</f>
        <v>0</v>
      </c>
      <c r="G30" s="6">
        <f t="shared" si="0"/>
        <v>2</v>
      </c>
      <c r="H30" s="4">
        <f>COUNTIF(DATA_SURAT_PELANTIKAN!$G$56:$G$132,B30)</f>
        <v>0</v>
      </c>
      <c r="I30" s="4">
        <f>COUNTIF(DATA_SURAT_PELANTIKAN!$H$56:$H$132,B30)</f>
        <v>1</v>
      </c>
      <c r="J30" s="4">
        <f>COUNTIF(DATA_SURAT_PELANTIKAN!$I$56:$I$132,B30)</f>
        <v>0</v>
      </c>
      <c r="K30" s="4">
        <f>COUNTIF(DATA_SURAT_PELANTIKAN!$J$56:$J$132,B30)</f>
        <v>0</v>
      </c>
      <c r="L30" s="6">
        <f t="shared" si="1"/>
        <v>1</v>
      </c>
    </row>
    <row r="31" spans="1:12" ht="28.5" customHeight="1">
      <c r="A31" s="4">
        <v>27</v>
      </c>
      <c r="B31" s="5" t="s">
        <v>18</v>
      </c>
      <c r="C31" s="4">
        <f>COUNTIF(DATA_SURAT_PELANTIKAN!$G$2:$G$55,B31)</f>
        <v>1</v>
      </c>
      <c r="D31" s="4">
        <f>COUNTIF(DATA_SURAT_PELANTIKAN!$H$2:$H$55,B31)</f>
        <v>2</v>
      </c>
      <c r="E31" s="4">
        <f>COUNTIF(DATA_SURAT_PELANTIKAN!$I$2:$I$55,B31)</f>
        <v>0</v>
      </c>
      <c r="F31" s="4">
        <f>COUNTIF(DATA_SURAT_PELANTIKAN!$J$2:$J$55,B31)</f>
        <v>2</v>
      </c>
      <c r="G31" s="6">
        <f t="shared" si="0"/>
        <v>5</v>
      </c>
      <c r="H31" s="4">
        <f>COUNTIF(DATA_SURAT_PELANTIKAN!$G$56:$G$132,B31)</f>
        <v>0</v>
      </c>
      <c r="I31" s="4">
        <f>COUNTIF(DATA_SURAT_PELANTIKAN!$H$56:$H$132,B31)</f>
        <v>2</v>
      </c>
      <c r="J31" s="4">
        <f>COUNTIF(DATA_SURAT_PELANTIKAN!$I$56:$I$132,B31)</f>
        <v>0</v>
      </c>
      <c r="K31" s="4">
        <f>COUNTIF(DATA_SURAT_PELANTIKAN!$J$56:$J$132,B31)</f>
        <v>0</v>
      </c>
      <c r="L31" s="6">
        <f t="shared" si="1"/>
        <v>2</v>
      </c>
    </row>
    <row r="32" spans="1:12" ht="28.5" customHeight="1">
      <c r="A32" s="4">
        <v>28</v>
      </c>
      <c r="B32" s="7" t="s">
        <v>19</v>
      </c>
      <c r="C32" s="4">
        <f>COUNTIF(DATA_SURAT_PELANTIKAN!$G$2:$G$55,B32)</f>
        <v>0</v>
      </c>
      <c r="D32" s="4">
        <f>COUNTIF(DATA_SURAT_PELANTIKAN!$H$2:$H$55,B32)</f>
        <v>2</v>
      </c>
      <c r="E32" s="4">
        <f>COUNTIF(DATA_SURAT_PELANTIKAN!$I$2:$I$55,B32)</f>
        <v>1</v>
      </c>
      <c r="F32" s="4">
        <f>COUNTIF(DATA_SURAT_PELANTIKAN!$J$2:$J$55,B32)</f>
        <v>4</v>
      </c>
      <c r="G32" s="6">
        <f t="shared" si="0"/>
        <v>7</v>
      </c>
      <c r="H32" s="4">
        <f>COUNTIF(DATA_SURAT_PELANTIKAN!$G$56:$G$132,B32)</f>
        <v>0</v>
      </c>
      <c r="I32" s="4">
        <f>COUNTIF(DATA_SURAT_PELANTIKAN!$H$56:$H$132,B32)</f>
        <v>0</v>
      </c>
      <c r="J32" s="4">
        <f>COUNTIF(DATA_SURAT_PELANTIKAN!$I$56:$I$132,B32)</f>
        <v>2</v>
      </c>
      <c r="K32" s="4">
        <f>COUNTIF(DATA_SURAT_PELANTIKAN!$J$56:$J$132,B32)</f>
        <v>4</v>
      </c>
      <c r="L32" s="6">
        <f t="shared" si="1"/>
        <v>6</v>
      </c>
    </row>
    <row r="33" spans="1:12" ht="28.5" customHeight="1">
      <c r="A33" s="4">
        <v>29</v>
      </c>
      <c r="B33" s="7" t="s">
        <v>20</v>
      </c>
      <c r="C33" s="4">
        <f>COUNTIF(DATA_SURAT_PELANTIKAN!$G$2:$G$55,B33)</f>
        <v>0</v>
      </c>
      <c r="D33" s="4">
        <f>COUNTIF(DATA_SURAT_PELANTIKAN!$H$2:$H$55,B33)</f>
        <v>0</v>
      </c>
      <c r="E33" s="4">
        <f>COUNTIF(DATA_SURAT_PELANTIKAN!$I$2:$I$55,B33)</f>
        <v>0</v>
      </c>
      <c r="F33" s="4">
        <f>COUNTIF(DATA_SURAT_PELANTIKAN!$J$2:$J$55,B33)</f>
        <v>1</v>
      </c>
      <c r="G33" s="6">
        <f t="shared" si="0"/>
        <v>1</v>
      </c>
      <c r="H33" s="4">
        <f>COUNTIF(DATA_SURAT_PELANTIKAN!$G$56:$G$132,B33)</f>
        <v>0</v>
      </c>
      <c r="I33" s="4">
        <f>COUNTIF(DATA_SURAT_PELANTIKAN!$H$56:$H$132,B33)</f>
        <v>0</v>
      </c>
      <c r="J33" s="4">
        <f>COUNTIF(DATA_SURAT_PELANTIKAN!$I$56:$I$132,B33)</f>
        <v>0</v>
      </c>
      <c r="K33" s="4">
        <f>COUNTIF(DATA_SURAT_PELANTIKAN!$J$56:$J$132,B33)</f>
        <v>1</v>
      </c>
      <c r="L33" s="6">
        <f t="shared" si="1"/>
        <v>1</v>
      </c>
    </row>
    <row r="34" spans="1:12" ht="28.5" customHeight="1">
      <c r="A34" s="4">
        <v>30</v>
      </c>
      <c r="B34" s="5" t="s">
        <v>24</v>
      </c>
      <c r="C34" s="4">
        <f>COUNTIF(DATA_SURAT_PELANTIKAN!$G$2:$G$55,B34)</f>
        <v>0</v>
      </c>
      <c r="D34" s="4">
        <f>COUNTIF(DATA_SURAT_PELANTIKAN!$H$2:$H$55,B34)</f>
        <v>3</v>
      </c>
      <c r="E34" s="4">
        <f>COUNTIF(DATA_SURAT_PELANTIKAN!$I$2:$I$55,B34)</f>
        <v>1</v>
      </c>
      <c r="F34" s="4">
        <f>COUNTIF(DATA_SURAT_PELANTIKAN!$J$2:$J$55,B34)</f>
        <v>1</v>
      </c>
      <c r="G34" s="6">
        <f t="shared" si="0"/>
        <v>5</v>
      </c>
      <c r="H34" s="4">
        <f>COUNTIF(DATA_SURAT_PELANTIKAN!$G$56:$G$132,B34)</f>
        <v>0</v>
      </c>
      <c r="I34" s="4">
        <f>COUNTIF(DATA_SURAT_PELANTIKAN!$H$56:$H$132,B34)</f>
        <v>3</v>
      </c>
      <c r="J34" s="4">
        <f>COUNTIF(DATA_SURAT_PELANTIKAN!$I$56:$I$132,B34)</f>
        <v>0</v>
      </c>
      <c r="K34" s="4">
        <f>COUNTIF(DATA_SURAT_PELANTIKAN!$J$56:$J$132,B34)</f>
        <v>0</v>
      </c>
      <c r="L34" s="6">
        <f t="shared" si="1"/>
        <v>3</v>
      </c>
    </row>
    <row r="35" spans="1:12" ht="28.5" customHeight="1">
      <c r="A35" s="4">
        <v>31</v>
      </c>
      <c r="B35" s="5" t="s">
        <v>26</v>
      </c>
      <c r="C35" s="4">
        <f>COUNTIF(DATA_SURAT_PELANTIKAN!$G$2:$G$55,B35)</f>
        <v>1</v>
      </c>
      <c r="D35" s="4">
        <f>COUNTIF(DATA_SURAT_PELANTIKAN!$H$2:$H$55,B35)</f>
        <v>1</v>
      </c>
      <c r="E35" s="4">
        <f>COUNTIF(DATA_SURAT_PELANTIKAN!$I$2:$I$55,B35)</f>
        <v>1</v>
      </c>
      <c r="F35" s="4">
        <f>COUNTIF(DATA_SURAT_PELANTIKAN!$J$2:$J$55,B35)</f>
        <v>3</v>
      </c>
      <c r="G35" s="6">
        <f t="shared" si="0"/>
        <v>6</v>
      </c>
      <c r="H35" s="4">
        <f>COUNTIF(DATA_SURAT_PELANTIKAN!$G$56:$G$132,B35)</f>
        <v>1</v>
      </c>
      <c r="I35" s="4">
        <f>COUNTIF(DATA_SURAT_PELANTIKAN!$H$56:$H$132,B35)</f>
        <v>1</v>
      </c>
      <c r="J35" s="4">
        <f>COUNTIF(DATA_SURAT_PELANTIKAN!$I$56:$I$132,B35)</f>
        <v>1</v>
      </c>
      <c r="K35" s="4">
        <f>COUNTIF(DATA_SURAT_PELANTIKAN!$J$56:$J$132,B35)</f>
        <v>1</v>
      </c>
      <c r="L35" s="6">
        <f t="shared" si="1"/>
        <v>4</v>
      </c>
    </row>
    <row r="36" spans="1:12" ht="28.5" customHeight="1">
      <c r="A36" s="4">
        <v>32</v>
      </c>
      <c r="B36" s="5" t="s">
        <v>29</v>
      </c>
      <c r="C36" s="4">
        <f>COUNTIF(DATA_SURAT_PELANTIKAN!$G$2:$G$55,B36)</f>
        <v>2</v>
      </c>
      <c r="D36" s="4">
        <f>COUNTIF(DATA_SURAT_PELANTIKAN!$H$2:$H$55,B36)</f>
        <v>1</v>
      </c>
      <c r="E36" s="4">
        <f>COUNTIF(DATA_SURAT_PELANTIKAN!$I$2:$I$55,B36)</f>
        <v>0</v>
      </c>
      <c r="F36" s="4">
        <f>COUNTIF(DATA_SURAT_PELANTIKAN!$J$2:$J$55,B36)</f>
        <v>1</v>
      </c>
      <c r="G36" s="6">
        <f t="shared" si="0"/>
        <v>4</v>
      </c>
      <c r="H36" s="4">
        <f>COUNTIF(DATA_SURAT_PELANTIKAN!$G$56:$G$132,B36)</f>
        <v>2</v>
      </c>
      <c r="I36" s="4">
        <f>COUNTIF(DATA_SURAT_PELANTIKAN!$H$56:$H$132,B36)</f>
        <v>3</v>
      </c>
      <c r="J36" s="4">
        <f>COUNTIF(DATA_SURAT_PELANTIKAN!$I$56:$I$132,B36)</f>
        <v>0</v>
      </c>
      <c r="K36" s="4">
        <f>COUNTIF(DATA_SURAT_PELANTIKAN!$J$56:$J$132,B36)</f>
        <v>5</v>
      </c>
      <c r="L36" s="6">
        <f t="shared" si="1"/>
        <v>10</v>
      </c>
    </row>
    <row r="37" spans="1:12" ht="28.5" customHeight="1">
      <c r="A37" s="4">
        <v>33</v>
      </c>
      <c r="B37" s="7" t="s">
        <v>30</v>
      </c>
      <c r="C37" s="4">
        <f>COUNTIF(DATA_SURAT_PELANTIKAN!$G$2:$G$55,B37)</f>
        <v>0</v>
      </c>
      <c r="D37" s="4">
        <f>COUNTIF(DATA_SURAT_PELANTIKAN!$H$2:$H$55,B37)</f>
        <v>0</v>
      </c>
      <c r="E37" s="4">
        <f>COUNTIF(DATA_SURAT_PELANTIKAN!$I$2:$I$55,B37)</f>
        <v>1</v>
      </c>
      <c r="F37" s="4">
        <f>COUNTIF(DATA_SURAT_PELANTIKAN!$J$2:$J$55,B37)</f>
        <v>3</v>
      </c>
      <c r="G37" s="6">
        <f t="shared" si="0"/>
        <v>4</v>
      </c>
      <c r="H37" s="4">
        <f>COUNTIF(DATA_SURAT_PELANTIKAN!$G$56:$G$132,B37)</f>
        <v>0</v>
      </c>
      <c r="I37" s="4">
        <f>COUNTIF(DATA_SURAT_PELANTIKAN!$H$56:$H$132,B37)</f>
        <v>0</v>
      </c>
      <c r="J37" s="4">
        <f>COUNTIF(DATA_SURAT_PELANTIKAN!$I$56:$I$132,B37)</f>
        <v>1</v>
      </c>
      <c r="K37" s="4">
        <f>COUNTIF(DATA_SURAT_PELANTIKAN!$J$56:$J$132,B37)</f>
        <v>3</v>
      </c>
      <c r="L37" s="6">
        <f t="shared" si="1"/>
        <v>4</v>
      </c>
    </row>
    <row r="38" spans="1:12" ht="28.5" customHeight="1">
      <c r="A38" s="4">
        <v>34</v>
      </c>
      <c r="B38" s="7" t="s">
        <v>280</v>
      </c>
      <c r="C38" s="4">
        <f>COUNTIF(DATA_SURAT_PELANTIKAN!$G$2:$G$55,B38)</f>
        <v>2</v>
      </c>
      <c r="D38" s="4">
        <f>COUNTIF(DATA_SURAT_PELANTIKAN!$H$2:$H$55,B38)</f>
        <v>0</v>
      </c>
      <c r="E38" s="4">
        <f>COUNTIF(DATA_SURAT_PELANTIKAN!$I$2:$I$55,B38)</f>
        <v>1</v>
      </c>
      <c r="F38" s="4">
        <f>COUNTIF(DATA_SURAT_PELANTIKAN!$J$2:$J$55,B38)</f>
        <v>1</v>
      </c>
      <c r="G38" s="6">
        <f t="shared" si="0"/>
        <v>4</v>
      </c>
      <c r="H38" s="4">
        <f>COUNTIF(DATA_SURAT_PELANTIKAN!$G$56:$G$132,B38)</f>
        <v>3</v>
      </c>
      <c r="I38" s="4">
        <f>COUNTIF(DATA_SURAT_PELANTIKAN!$H$56:$H$132,B38)</f>
        <v>1</v>
      </c>
      <c r="J38" s="4">
        <f>COUNTIF(DATA_SURAT_PELANTIKAN!$I$56:$I$132,B38)</f>
        <v>6</v>
      </c>
      <c r="K38" s="4">
        <f>COUNTIF(DATA_SURAT_PELANTIKAN!$J$56:$J$132,B38)</f>
        <v>1</v>
      </c>
      <c r="L38" s="6">
        <f t="shared" si="1"/>
        <v>11</v>
      </c>
    </row>
    <row r="39" spans="1:12" ht="28.5" customHeight="1">
      <c r="A39" s="4">
        <v>35</v>
      </c>
      <c r="B39" s="5" t="s">
        <v>34</v>
      </c>
      <c r="C39" s="4">
        <f>COUNTIF(DATA_SURAT_PELANTIKAN!$G$2:$G$55,B39)</f>
        <v>0</v>
      </c>
      <c r="D39" s="4">
        <f>COUNTIF(DATA_SURAT_PELANTIKAN!$H$2:$H$55,B39)</f>
        <v>1</v>
      </c>
      <c r="E39" s="4">
        <f>COUNTIF(DATA_SURAT_PELANTIKAN!$I$2:$I$55,B39)</f>
        <v>0</v>
      </c>
      <c r="F39" s="4">
        <f>COUNTIF(DATA_SURAT_PELANTIKAN!$J$2:$J$55,B39)</f>
        <v>0</v>
      </c>
      <c r="G39" s="6">
        <f t="shared" si="0"/>
        <v>1</v>
      </c>
      <c r="H39" s="4">
        <f>COUNTIF(DATA_SURAT_PELANTIKAN!$G$56:$G$132,B39)</f>
        <v>1</v>
      </c>
      <c r="I39" s="4">
        <f>COUNTIF(DATA_SURAT_PELANTIKAN!$H$56:$H$132,B39)</f>
        <v>1</v>
      </c>
      <c r="J39" s="4">
        <f>COUNTIF(DATA_SURAT_PELANTIKAN!$I$56:$I$132,B39)</f>
        <v>0</v>
      </c>
      <c r="K39" s="4">
        <f>COUNTIF(DATA_SURAT_PELANTIKAN!$J$56:$J$132,B39)</f>
        <v>2</v>
      </c>
      <c r="L39" s="6">
        <f t="shared" si="1"/>
        <v>4</v>
      </c>
    </row>
    <row r="40" spans="1:12" ht="28.5" customHeight="1">
      <c r="A40" s="4">
        <v>36</v>
      </c>
      <c r="B40" s="7" t="s">
        <v>360</v>
      </c>
      <c r="C40" s="4">
        <f>COUNTIF(DATA_SURAT_PELANTIKAN!$G$2:$G$55,B40)</f>
        <v>1</v>
      </c>
      <c r="D40" s="4">
        <f>COUNTIF(DATA_SURAT_PELANTIKAN!$H$2:$H$55,B40)</f>
        <v>2</v>
      </c>
      <c r="E40" s="4">
        <f>COUNTIF(DATA_SURAT_PELANTIKAN!$I$2:$I$55,B40)</f>
        <v>0</v>
      </c>
      <c r="F40" s="4">
        <f>COUNTIF(DATA_SURAT_PELANTIKAN!$J$2:$J$55,B40)</f>
        <v>0</v>
      </c>
      <c r="G40" s="6">
        <f t="shared" si="0"/>
        <v>3</v>
      </c>
      <c r="H40" s="4">
        <f>COUNTIF(DATA_SURAT_PELANTIKAN!$G$56:$G$132,B40)</f>
        <v>2</v>
      </c>
      <c r="I40" s="4">
        <f>COUNTIF(DATA_SURAT_PELANTIKAN!$H$56:$H$132,B40)</f>
        <v>0</v>
      </c>
      <c r="J40" s="4">
        <f>COUNTIF(DATA_SURAT_PELANTIKAN!$I$56:$I$132,B40)</f>
        <v>0</v>
      </c>
      <c r="K40" s="4">
        <f>COUNTIF(DATA_SURAT_PELANTIKAN!$J$56:$J$132,B40)</f>
        <v>0</v>
      </c>
      <c r="L40" s="6">
        <f t="shared" si="1"/>
        <v>2</v>
      </c>
    </row>
    <row r="41" spans="1:12" ht="28.5" customHeight="1">
      <c r="A41" s="4">
        <v>37</v>
      </c>
      <c r="B41" s="7" t="s">
        <v>289</v>
      </c>
      <c r="C41" s="4">
        <f>COUNTIF(DATA_SURAT_PELANTIKAN!$G$2:$G$55,B41)</f>
        <v>0</v>
      </c>
      <c r="D41" s="4">
        <f>COUNTIF(DATA_SURAT_PELANTIKAN!$H$2:$H$55,B41)</f>
        <v>1</v>
      </c>
      <c r="E41" s="4">
        <f>COUNTIF(DATA_SURAT_PELANTIKAN!$I$2:$I$55,B41)</f>
        <v>2</v>
      </c>
      <c r="F41" s="4">
        <f>COUNTIF(DATA_SURAT_PELANTIKAN!$J$2:$J$55,B41)</f>
        <v>0</v>
      </c>
      <c r="G41" s="6">
        <f t="shared" si="0"/>
        <v>3</v>
      </c>
      <c r="H41" s="4">
        <f>COUNTIF(DATA_SURAT_PELANTIKAN!$G$56:$G$132,B41)</f>
        <v>1</v>
      </c>
      <c r="I41" s="4">
        <f>COUNTIF(DATA_SURAT_PELANTIKAN!$H$56:$H$132,B41)</f>
        <v>0</v>
      </c>
      <c r="J41" s="4">
        <f>COUNTIF(DATA_SURAT_PELANTIKAN!$I$56:$I$132,B41)</f>
        <v>0</v>
      </c>
      <c r="K41" s="4">
        <f>COUNTIF(DATA_SURAT_PELANTIKAN!$J$56:$J$132,B41)</f>
        <v>1</v>
      </c>
      <c r="L41" s="6">
        <f t="shared" si="1"/>
        <v>2</v>
      </c>
    </row>
    <row r="42" spans="1:12" ht="28.5" customHeight="1">
      <c r="A42" s="4">
        <v>38</v>
      </c>
      <c r="B42" s="9" t="s">
        <v>361</v>
      </c>
      <c r="C42" s="4">
        <f>COUNTIF(DATA_SURAT_PELANTIKAN!$G$2:$G$55,B42)</f>
        <v>2</v>
      </c>
      <c r="D42" s="4">
        <f>COUNTIF(DATA_SURAT_PELANTIKAN!$H$2:$H$55,B42)</f>
        <v>1</v>
      </c>
      <c r="E42" s="4">
        <f>COUNTIF(DATA_SURAT_PELANTIKAN!$I$2:$I$55,B42)</f>
        <v>0</v>
      </c>
      <c r="F42" s="4">
        <f>COUNTIF(DATA_SURAT_PELANTIKAN!$J$2:$J$55,B42)</f>
        <v>0</v>
      </c>
      <c r="G42" s="6">
        <f t="shared" si="0"/>
        <v>3</v>
      </c>
      <c r="H42" s="4">
        <f>COUNTIF(DATA_SURAT_PELANTIKAN!$G$56:$G$132,B42)</f>
        <v>3</v>
      </c>
      <c r="I42" s="4">
        <f>COUNTIF(DATA_SURAT_PELANTIKAN!$H$56:$H$132,B42)</f>
        <v>0</v>
      </c>
      <c r="J42" s="4">
        <f>COUNTIF(DATA_SURAT_PELANTIKAN!$I$56:$I$132,B42)</f>
        <v>1</v>
      </c>
      <c r="K42" s="4">
        <f>COUNTIF(DATA_SURAT_PELANTIKAN!$J$56:$J$132,B42)</f>
        <v>0</v>
      </c>
      <c r="L42" s="6">
        <f t="shared" si="1"/>
        <v>4</v>
      </c>
    </row>
    <row r="43" spans="1:12" ht="28.5" customHeight="1">
      <c r="A43" s="4">
        <v>39</v>
      </c>
      <c r="B43" s="7" t="s">
        <v>277</v>
      </c>
      <c r="C43" s="4">
        <f>COUNTIF(DATA_SURAT_PELANTIKAN!$G$2:$G$55,B43)</f>
        <v>1</v>
      </c>
      <c r="D43" s="4">
        <f>COUNTIF(DATA_SURAT_PELANTIKAN!$H$2:$H$55,B43)</f>
        <v>2</v>
      </c>
      <c r="E43" s="4">
        <f>COUNTIF(DATA_SURAT_PELANTIKAN!$I$2:$I$55,B43)</f>
        <v>0</v>
      </c>
      <c r="F43" s="4">
        <f>COUNTIF(DATA_SURAT_PELANTIKAN!$J$2:$J$55,B43)</f>
        <v>1</v>
      </c>
      <c r="G43" s="6">
        <f t="shared" si="0"/>
        <v>4</v>
      </c>
      <c r="H43" s="4">
        <f>COUNTIF(DATA_SURAT_PELANTIKAN!$G$56:$G$132,B43)</f>
        <v>0</v>
      </c>
      <c r="I43" s="4">
        <f>COUNTIF(DATA_SURAT_PELANTIKAN!$H$56:$H$132,B43)</f>
        <v>0</v>
      </c>
      <c r="J43" s="4">
        <f>COUNTIF(DATA_SURAT_PELANTIKAN!$I$56:$I$132,B43)</f>
        <v>1</v>
      </c>
      <c r="K43" s="4">
        <f>COUNTIF(DATA_SURAT_PELANTIKAN!$J$56:$J$132,B43)</f>
        <v>1</v>
      </c>
      <c r="L43" s="6">
        <f t="shared" si="1"/>
        <v>2</v>
      </c>
    </row>
    <row r="44" spans="1:12" ht="28.5" customHeight="1">
      <c r="A44" s="4">
        <v>40</v>
      </c>
      <c r="B44" s="7" t="s">
        <v>62</v>
      </c>
      <c r="C44" s="4">
        <f>COUNTIF(DATA_SURAT_PELANTIKAN!$G$2:$G$55,B44)</f>
        <v>0</v>
      </c>
      <c r="D44" s="4">
        <f>COUNTIF(DATA_SURAT_PELANTIKAN!$H$2:$H$55,B44)</f>
        <v>0</v>
      </c>
      <c r="E44" s="4">
        <f>COUNTIF(DATA_SURAT_PELANTIKAN!$I$2:$I$55,B44)</f>
        <v>0</v>
      </c>
      <c r="F44" s="4">
        <f>COUNTIF(DATA_SURAT_PELANTIKAN!$J$2:$J$55,B44)</f>
        <v>5</v>
      </c>
      <c r="G44" s="6">
        <f t="shared" si="0"/>
        <v>5</v>
      </c>
      <c r="H44" s="4">
        <f>COUNTIF(DATA_SURAT_PELANTIKAN!$G$56:$G$132,B44)</f>
        <v>1</v>
      </c>
      <c r="I44" s="4">
        <f>COUNTIF(DATA_SURAT_PELANTIKAN!$H$56:$H$132,B44)</f>
        <v>0</v>
      </c>
      <c r="J44" s="4">
        <f>COUNTIF(DATA_SURAT_PELANTIKAN!$I$56:$I$132,B44)</f>
        <v>0</v>
      </c>
      <c r="K44" s="4">
        <f>COUNTIF(DATA_SURAT_PELANTIKAN!$J$56:$J$132,B44)</f>
        <v>1</v>
      </c>
      <c r="L44" s="6">
        <f t="shared" si="1"/>
        <v>2</v>
      </c>
    </row>
    <row r="45" spans="1:12" ht="28.5" customHeight="1">
      <c r="A45" s="4">
        <v>41</v>
      </c>
      <c r="B45" s="7" t="s">
        <v>67</v>
      </c>
      <c r="C45" s="4">
        <f>COUNTIF(DATA_SURAT_PELANTIKAN!$G$2:$G$55,B45)</f>
        <v>0</v>
      </c>
      <c r="D45" s="4">
        <f>COUNTIF(DATA_SURAT_PELANTIKAN!$H$2:$H$55,B45)</f>
        <v>0</v>
      </c>
      <c r="E45" s="4">
        <f>COUNTIF(DATA_SURAT_PELANTIKAN!$I$2:$I$55,B45)</f>
        <v>2</v>
      </c>
      <c r="F45" s="4">
        <f>COUNTIF(DATA_SURAT_PELANTIKAN!$J$2:$J$55,B45)</f>
        <v>2</v>
      </c>
      <c r="G45" s="6">
        <f t="shared" si="0"/>
        <v>4</v>
      </c>
      <c r="H45" s="4">
        <f>COUNTIF(DATA_SURAT_PELANTIKAN!$G$56:$G$132,B45)</f>
        <v>1</v>
      </c>
      <c r="I45" s="4">
        <f>COUNTIF(DATA_SURAT_PELANTIKAN!$H$56:$H$132,B45)</f>
        <v>0</v>
      </c>
      <c r="J45" s="4">
        <f>COUNTIF(DATA_SURAT_PELANTIKAN!$I$56:$I$132,B45)</f>
        <v>1</v>
      </c>
      <c r="K45" s="4">
        <f>COUNTIF(DATA_SURAT_PELANTIKAN!$J$56:$J$132,B45)</f>
        <v>1</v>
      </c>
      <c r="L45" s="6">
        <f t="shared" si="1"/>
        <v>3</v>
      </c>
    </row>
    <row r="46" spans="1:12" ht="28.5" customHeight="1">
      <c r="A46" s="4">
        <v>42</v>
      </c>
      <c r="B46" s="7" t="s">
        <v>71</v>
      </c>
      <c r="C46" s="4">
        <f>COUNTIF(DATA_SURAT_PELANTIKAN!$G$2:$G$55,B46)</f>
        <v>3</v>
      </c>
      <c r="D46" s="4">
        <f>COUNTIF(DATA_SURAT_PELANTIKAN!$H$2:$H$55,B46)</f>
        <v>0</v>
      </c>
      <c r="E46" s="4">
        <f>COUNTIF(DATA_SURAT_PELANTIKAN!$I$2:$I$55,B46)</f>
        <v>0</v>
      </c>
      <c r="F46" s="4">
        <f>COUNTIF(DATA_SURAT_PELANTIKAN!$J$2:$J$55,B46)</f>
        <v>0</v>
      </c>
      <c r="G46" s="6">
        <f t="shared" si="0"/>
        <v>3</v>
      </c>
      <c r="H46" s="4">
        <f>COUNTIF(DATA_SURAT_PELANTIKAN!$G$56:$G$132,B46)</f>
        <v>3</v>
      </c>
      <c r="I46" s="4">
        <f>COUNTIF(DATA_SURAT_PELANTIKAN!$H$56:$H$132,B46)</f>
        <v>0</v>
      </c>
      <c r="J46" s="4">
        <f>COUNTIF(DATA_SURAT_PELANTIKAN!$I$56:$I$132,B46)</f>
        <v>0</v>
      </c>
      <c r="K46" s="4">
        <f>COUNTIF(DATA_SURAT_PELANTIKAN!$J$56:$J$132,B46)</f>
        <v>1</v>
      </c>
      <c r="L46" s="6">
        <f t="shared" si="1"/>
        <v>4</v>
      </c>
    </row>
    <row r="47" spans="1:12" ht="28.5" customHeight="1">
      <c r="A47" s="4">
        <v>43</v>
      </c>
      <c r="B47" s="7" t="s">
        <v>66</v>
      </c>
      <c r="C47" s="4">
        <f>COUNTIF(DATA_SURAT_PELANTIKAN!$G$2:$G$55,B47)</f>
        <v>3</v>
      </c>
      <c r="D47" s="4">
        <f>COUNTIF(DATA_SURAT_PELANTIKAN!$H$2:$H$55,B47)</f>
        <v>0</v>
      </c>
      <c r="E47" s="4">
        <f>COUNTIF(DATA_SURAT_PELANTIKAN!$I$2:$I$55,B47)</f>
        <v>1</v>
      </c>
      <c r="F47" s="4">
        <f>COUNTIF(DATA_SURAT_PELANTIKAN!$J$2:$J$55,B47)</f>
        <v>2</v>
      </c>
      <c r="G47" s="6">
        <f t="shared" si="0"/>
        <v>6</v>
      </c>
      <c r="H47" s="4">
        <f>COUNTIF(DATA_SURAT_PELANTIKAN!$G$56:$G$132,B47)</f>
        <v>2</v>
      </c>
      <c r="I47" s="4">
        <f>COUNTIF(DATA_SURAT_PELANTIKAN!$H$56:$H$132,B47)</f>
        <v>2</v>
      </c>
      <c r="J47" s="4">
        <f>COUNTIF(DATA_SURAT_PELANTIKAN!$I$56:$I$132,B47)</f>
        <v>0</v>
      </c>
      <c r="K47" s="4">
        <f>COUNTIF(DATA_SURAT_PELANTIKAN!$J$56:$J$132,B47)</f>
        <v>1</v>
      </c>
      <c r="L47" s="6">
        <f t="shared" si="1"/>
        <v>5</v>
      </c>
    </row>
    <row r="48" spans="1:12" ht="28.5" customHeight="1">
      <c r="A48" s="4">
        <v>44</v>
      </c>
      <c r="B48" s="7" t="s">
        <v>75</v>
      </c>
      <c r="C48" s="4">
        <f>COUNTIF(DATA_SURAT_PELANTIKAN!$G$2:$G$55,B48)</f>
        <v>2</v>
      </c>
      <c r="D48" s="4">
        <f>COUNTIF(DATA_SURAT_PELANTIKAN!$H$2:$H$55,B48)</f>
        <v>1</v>
      </c>
      <c r="E48" s="4">
        <f>COUNTIF(DATA_SURAT_PELANTIKAN!$I$2:$I$55,B48)</f>
        <v>2</v>
      </c>
      <c r="F48" s="4">
        <f>COUNTIF(DATA_SURAT_PELANTIKAN!$J$2:$J$55,B48)</f>
        <v>0</v>
      </c>
      <c r="G48" s="6">
        <f t="shared" si="0"/>
        <v>5</v>
      </c>
      <c r="H48" s="4">
        <f>COUNTIF(DATA_SURAT_PELANTIKAN!$G$56:$G$132,B48)</f>
        <v>0</v>
      </c>
      <c r="I48" s="4">
        <f>COUNTIF(DATA_SURAT_PELANTIKAN!$H$56:$H$132,B48)</f>
        <v>0</v>
      </c>
      <c r="J48" s="4">
        <f>COUNTIF(DATA_SURAT_PELANTIKAN!$I$56:$I$132,B48)</f>
        <v>0</v>
      </c>
      <c r="K48" s="4">
        <f>COUNTIF(DATA_SURAT_PELANTIKAN!$J$56:$J$132,B48)</f>
        <v>1</v>
      </c>
      <c r="L48" s="6">
        <f t="shared" si="1"/>
        <v>1</v>
      </c>
    </row>
    <row r="49" spans="1:12" ht="28.5" customHeight="1">
      <c r="A49" s="4">
        <v>45</v>
      </c>
      <c r="B49" s="7" t="s">
        <v>78</v>
      </c>
      <c r="C49" s="4">
        <f>COUNTIF(DATA_SURAT_PELANTIKAN!$G$2:$G$55,B49)</f>
        <v>2</v>
      </c>
      <c r="D49" s="4">
        <f>COUNTIF(DATA_SURAT_PELANTIKAN!$H$2:$H$55,B49)</f>
        <v>1</v>
      </c>
      <c r="E49" s="4">
        <f>COUNTIF(DATA_SURAT_PELANTIKAN!$I$2:$I$55,B49)</f>
        <v>1</v>
      </c>
      <c r="F49" s="4">
        <f>COUNTIF(DATA_SURAT_PELANTIKAN!$J$2:$J$55,B49)</f>
        <v>0</v>
      </c>
      <c r="G49" s="6">
        <f t="shared" si="0"/>
        <v>4</v>
      </c>
      <c r="H49" s="4">
        <f>COUNTIF(DATA_SURAT_PELANTIKAN!$G$56:$G$132,B49)</f>
        <v>1</v>
      </c>
      <c r="I49" s="4">
        <f>COUNTIF(DATA_SURAT_PELANTIKAN!$H$56:$H$132,B49)</f>
        <v>1</v>
      </c>
      <c r="J49" s="4">
        <f>COUNTIF(DATA_SURAT_PELANTIKAN!$I$56:$I$132,B49)</f>
        <v>1</v>
      </c>
      <c r="K49" s="4">
        <f>COUNTIF(DATA_SURAT_PELANTIKAN!$J$56:$J$132,B49)</f>
        <v>0</v>
      </c>
      <c r="L49" s="6">
        <f t="shared" si="1"/>
        <v>3</v>
      </c>
    </row>
    <row r="50" spans="1:12" ht="28.5" customHeight="1">
      <c r="A50" s="4">
        <v>46</v>
      </c>
      <c r="B50" s="7" t="s">
        <v>85</v>
      </c>
      <c r="C50" s="4">
        <f>COUNTIF(DATA_SURAT_PELANTIKAN!$G$2:$G$55,B50)</f>
        <v>0</v>
      </c>
      <c r="D50" s="4">
        <f>COUNTIF(DATA_SURAT_PELANTIKAN!$H$2:$H$55,B50)</f>
        <v>0</v>
      </c>
      <c r="E50" s="4">
        <f>COUNTIF(DATA_SURAT_PELANTIKAN!$I$2:$I$55,B50)</f>
        <v>2</v>
      </c>
      <c r="F50" s="4">
        <f>COUNTIF(DATA_SURAT_PELANTIKAN!$J$2:$J$55,B50)</f>
        <v>2</v>
      </c>
      <c r="G50" s="6">
        <f t="shared" si="0"/>
        <v>4</v>
      </c>
      <c r="H50" s="4">
        <f>COUNTIF(DATA_SURAT_PELANTIKAN!$G$56:$G$132,B50)</f>
        <v>0</v>
      </c>
      <c r="I50" s="4">
        <f>COUNTIF(DATA_SURAT_PELANTIKAN!$H$56:$H$132,B50)</f>
        <v>0</v>
      </c>
      <c r="J50" s="4">
        <f>COUNTIF(DATA_SURAT_PELANTIKAN!$I$56:$I$132,B50)</f>
        <v>0</v>
      </c>
      <c r="K50" s="4">
        <f>COUNTIF(DATA_SURAT_PELANTIKAN!$J$56:$J$132,B50)</f>
        <v>4</v>
      </c>
      <c r="L50" s="6">
        <f t="shared" si="1"/>
        <v>4</v>
      </c>
    </row>
    <row r="51" spans="1:12" ht="28.5" customHeight="1">
      <c r="A51" s="4">
        <v>47</v>
      </c>
      <c r="B51" s="7" t="s">
        <v>88</v>
      </c>
      <c r="C51" s="4">
        <f>COUNTIF(DATA_SURAT_PELANTIKAN!$G$2:$G$55,B51)</f>
        <v>1</v>
      </c>
      <c r="D51" s="4">
        <f>COUNTIF(DATA_SURAT_PELANTIKAN!$H$2:$H$55,B51)</f>
        <v>0</v>
      </c>
      <c r="E51" s="4">
        <f>COUNTIF(DATA_SURAT_PELANTIKAN!$I$2:$I$55,B51)</f>
        <v>0</v>
      </c>
      <c r="F51" s="4">
        <f>COUNTIF(DATA_SURAT_PELANTIKAN!$J$2:$J$55,B51)</f>
        <v>0</v>
      </c>
      <c r="G51" s="6">
        <f t="shared" si="0"/>
        <v>1</v>
      </c>
      <c r="H51" s="4">
        <f>COUNTIF(DATA_SURAT_PELANTIKAN!$G$56:$G$132,B51)</f>
        <v>0</v>
      </c>
      <c r="I51" s="4">
        <f>COUNTIF(DATA_SURAT_PELANTIKAN!$H$56:$H$132,B51)</f>
        <v>5</v>
      </c>
      <c r="J51" s="4">
        <f>COUNTIF(DATA_SURAT_PELANTIKAN!$I$56:$I$132,B51)</f>
        <v>0</v>
      </c>
      <c r="K51" s="4">
        <f>COUNTIF(DATA_SURAT_PELANTIKAN!$J$56:$J$132,B51)</f>
        <v>0</v>
      </c>
      <c r="L51" s="6">
        <f t="shared" si="1"/>
        <v>5</v>
      </c>
    </row>
    <row r="52" spans="1:12" ht="28.5" customHeight="1">
      <c r="A52" s="4">
        <v>48</v>
      </c>
      <c r="B52" s="7" t="s">
        <v>92</v>
      </c>
      <c r="C52" s="4">
        <f>COUNTIF(DATA_SURAT_PELANTIKAN!$G$2:$G$55,B52)</f>
        <v>0</v>
      </c>
      <c r="D52" s="4">
        <f>COUNTIF(DATA_SURAT_PELANTIKAN!$H$2:$H$55,B52)</f>
        <v>2</v>
      </c>
      <c r="E52" s="4">
        <f>COUNTIF(DATA_SURAT_PELANTIKAN!$I$2:$I$55,B52)</f>
        <v>0</v>
      </c>
      <c r="F52" s="4">
        <f>COUNTIF(DATA_SURAT_PELANTIKAN!$J$2:$J$55,B52)</f>
        <v>0</v>
      </c>
      <c r="G52" s="6">
        <f t="shared" si="0"/>
        <v>2</v>
      </c>
      <c r="H52" s="4">
        <f>COUNTIF(DATA_SURAT_PELANTIKAN!$G$56:$G$132,B52)</f>
        <v>2</v>
      </c>
      <c r="I52" s="4">
        <f>COUNTIF(DATA_SURAT_PELANTIKAN!$H$56:$H$132,B52)</f>
        <v>8</v>
      </c>
      <c r="J52" s="4">
        <f>COUNTIF(DATA_SURAT_PELANTIKAN!$I$56:$I$132,B52)</f>
        <v>0</v>
      </c>
      <c r="K52" s="4">
        <f>COUNTIF(DATA_SURAT_PELANTIKAN!$J$56:$J$132,B52)</f>
        <v>0</v>
      </c>
      <c r="L52" s="6">
        <f t="shared" si="1"/>
        <v>10</v>
      </c>
    </row>
    <row r="53" spans="1:12" ht="28.5" customHeight="1">
      <c r="A53" s="4">
        <v>49</v>
      </c>
      <c r="B53" s="7" t="s">
        <v>94</v>
      </c>
      <c r="C53" s="4">
        <f>COUNTIF(DATA_SURAT_PELANTIKAN!$G$2:$G$55,B53)</f>
        <v>0</v>
      </c>
      <c r="D53" s="4">
        <f>COUNTIF(DATA_SURAT_PELANTIKAN!$H$2:$H$55,B53)</f>
        <v>0</v>
      </c>
      <c r="E53" s="4">
        <f>COUNTIF(DATA_SURAT_PELANTIKAN!$I$2:$I$55,B53)</f>
        <v>1</v>
      </c>
      <c r="F53" s="4">
        <f>COUNTIF(DATA_SURAT_PELANTIKAN!$J$2:$J$55,B53)</f>
        <v>1</v>
      </c>
      <c r="G53" s="6">
        <f t="shared" si="0"/>
        <v>2</v>
      </c>
      <c r="H53" s="4">
        <f>COUNTIF(DATA_SURAT_PELANTIKAN!$G$56:$G$132,B53)</f>
        <v>1</v>
      </c>
      <c r="I53" s="4">
        <f>COUNTIF(DATA_SURAT_PELANTIKAN!$H$56:$H$132,B53)</f>
        <v>0</v>
      </c>
      <c r="J53" s="4">
        <f>COUNTIF(DATA_SURAT_PELANTIKAN!$I$56:$I$132,B53)</f>
        <v>3</v>
      </c>
      <c r="K53" s="4">
        <f>COUNTIF(DATA_SURAT_PELANTIKAN!$J$56:$J$132,B53)</f>
        <v>5</v>
      </c>
      <c r="L53" s="6">
        <f t="shared" si="1"/>
        <v>9</v>
      </c>
    </row>
    <row r="54" spans="1:12" ht="28.5" customHeight="1">
      <c r="A54" s="4">
        <v>50</v>
      </c>
      <c r="B54" s="5" t="s">
        <v>100</v>
      </c>
      <c r="C54" s="4">
        <f>COUNTIF(DATA_SURAT_PELANTIKAN!$G$2:$G$55,B54)</f>
        <v>1</v>
      </c>
      <c r="D54" s="4">
        <f>COUNTIF(DATA_SURAT_PELANTIKAN!$H$2:$H$55,B54)</f>
        <v>0</v>
      </c>
      <c r="E54" s="4">
        <f>COUNTIF(DATA_SURAT_PELANTIKAN!$I$2:$I$55,B54)</f>
        <v>0</v>
      </c>
      <c r="F54" s="4">
        <f>COUNTIF(DATA_SURAT_PELANTIKAN!$J$2:$J$55,B54)</f>
        <v>1</v>
      </c>
      <c r="G54" s="6">
        <f t="shared" si="0"/>
        <v>2</v>
      </c>
      <c r="H54" s="4">
        <f>COUNTIF(DATA_SURAT_PELANTIKAN!$G$56:$G$132,B54)</f>
        <v>0</v>
      </c>
      <c r="I54" s="4">
        <f>COUNTIF(DATA_SURAT_PELANTIKAN!$H$56:$H$132,B54)</f>
        <v>0</v>
      </c>
      <c r="J54" s="4">
        <f>COUNTIF(DATA_SURAT_PELANTIKAN!$I$56:$I$132,B54)</f>
        <v>0</v>
      </c>
      <c r="K54" s="4">
        <f>COUNTIF(DATA_SURAT_PELANTIKAN!$J$56:$J$132,B54)</f>
        <v>1</v>
      </c>
      <c r="L54" s="6">
        <f t="shared" si="1"/>
        <v>1</v>
      </c>
    </row>
    <row r="55" spans="1:12" ht="28.5" customHeight="1">
      <c r="A55" s="4">
        <v>51</v>
      </c>
      <c r="B55" s="8" t="s">
        <v>179</v>
      </c>
      <c r="C55" s="4">
        <f>COUNTIF(DATA_SURAT_PELANTIKAN!$G$2:$G$55,B55)</f>
        <v>0</v>
      </c>
      <c r="D55" s="4">
        <f>COUNTIF(DATA_SURAT_PELANTIKAN!$H$2:$H$55,B55)</f>
        <v>1</v>
      </c>
      <c r="E55" s="4">
        <f>COUNTIF(DATA_SURAT_PELANTIKAN!$I$2:$I$55,B55)</f>
        <v>0</v>
      </c>
      <c r="F55" s="4">
        <f>COUNTIF(DATA_SURAT_PELANTIKAN!$J$2:$J$55,B55)</f>
        <v>0</v>
      </c>
      <c r="G55" s="6">
        <f t="shared" si="0"/>
        <v>1</v>
      </c>
      <c r="H55" s="4">
        <f>COUNTIF(DATA_SURAT_PELANTIKAN!$G$56:$G$132,B55)</f>
        <v>1</v>
      </c>
      <c r="I55" s="4">
        <f>COUNTIF(DATA_SURAT_PELANTIKAN!$H$56:$H$132,B55)</f>
        <v>6</v>
      </c>
      <c r="J55" s="4">
        <f>COUNTIF(DATA_SURAT_PELANTIKAN!$I$56:$I$132,B55)</f>
        <v>0</v>
      </c>
      <c r="K55" s="4">
        <f>COUNTIF(DATA_SURAT_PELANTIKAN!$J$56:$J$132,B55)</f>
        <v>0</v>
      </c>
      <c r="L55" s="6">
        <f t="shared" si="1"/>
        <v>7</v>
      </c>
    </row>
    <row r="56" spans="1:12" s="41" customFormat="1" ht="28.5" customHeight="1">
      <c r="A56" s="42">
        <v>52</v>
      </c>
      <c r="B56" s="43" t="s">
        <v>114</v>
      </c>
      <c r="C56" s="42">
        <f>COUNTIF(DATA_SURAT_PELANTIKAN!$G$2:$G$55,B56)</f>
        <v>1</v>
      </c>
      <c r="D56" s="42">
        <f>COUNTIF(DATA_SURAT_PELANTIKAN!$H$2:$H$55,B56)</f>
        <v>0</v>
      </c>
      <c r="E56" s="42">
        <f>COUNTIF(DATA_SURAT_PELANTIKAN!$I$2:$I$55,B56)</f>
        <v>0</v>
      </c>
      <c r="F56" s="42">
        <f>COUNTIF(DATA_SURAT_PELANTIKAN!$J$2:$J$55,B56)</f>
        <v>0</v>
      </c>
      <c r="G56" s="44">
        <f t="shared" si="0"/>
        <v>1</v>
      </c>
      <c r="H56" s="42">
        <f>COUNTIF(DATA_SURAT_PELANTIKAN!$G$56:$G$132,B56)</f>
        <v>0</v>
      </c>
      <c r="I56" s="42">
        <f>COUNTIF(DATA_SURAT_PELANTIKAN!$H$56:$H$132,B56)</f>
        <v>0</v>
      </c>
      <c r="J56" s="42">
        <f>COUNTIF(DATA_SURAT_PELANTIKAN!$I$56:$I$132,B56)</f>
        <v>0</v>
      </c>
      <c r="K56" s="42">
        <f>COUNTIF(DATA_SURAT_PELANTIKAN!$J$56:$J$132,B56)</f>
        <v>0</v>
      </c>
      <c r="L56" s="44">
        <f t="shared" si="1"/>
        <v>0</v>
      </c>
    </row>
    <row r="57" spans="1:12" ht="28.5" customHeight="1">
      <c r="A57" s="4">
        <v>53</v>
      </c>
      <c r="B57" s="10" t="s">
        <v>125</v>
      </c>
      <c r="C57" s="4">
        <f>COUNTIF(DATA_SURAT_PELANTIKAN!$G$2:$G$55,B57)</f>
        <v>0</v>
      </c>
      <c r="D57" s="4">
        <f>COUNTIF(DATA_SURAT_PELANTIKAN!$H$2:$H$55,B57)</f>
        <v>1</v>
      </c>
      <c r="E57" s="4">
        <f>COUNTIF(DATA_SURAT_PELANTIKAN!$I$2:$I$55,B57)</f>
        <v>0</v>
      </c>
      <c r="F57" s="4">
        <f>COUNTIF(DATA_SURAT_PELANTIKAN!$J$2:$J$55,B57)</f>
        <v>0</v>
      </c>
      <c r="G57" s="6">
        <f t="shared" si="0"/>
        <v>1</v>
      </c>
      <c r="H57" s="4">
        <f>COUNTIF(DATA_SURAT_PELANTIKAN!$G$56:$G$132,B57)</f>
        <v>1</v>
      </c>
      <c r="I57" s="4">
        <f>COUNTIF(DATA_SURAT_PELANTIKAN!$H$56:$H$132,B57)</f>
        <v>1</v>
      </c>
      <c r="J57" s="4">
        <f>COUNTIF(DATA_SURAT_PELANTIKAN!$I$56:$I$132,B57)</f>
        <v>0</v>
      </c>
      <c r="K57" s="4">
        <f>COUNTIF(DATA_SURAT_PELANTIKAN!$J$56:$J$132,B57)</f>
        <v>0</v>
      </c>
      <c r="L57" s="6">
        <f t="shared" si="1"/>
        <v>2</v>
      </c>
    </row>
    <row r="58" spans="1:12" ht="28.5" customHeight="1">
      <c r="A58" s="4">
        <v>54</v>
      </c>
      <c r="B58" s="10" t="s">
        <v>110</v>
      </c>
      <c r="C58" s="4">
        <f>COUNTIF(DATA_SURAT_PELANTIKAN!$G$2:$G$55,B58)</f>
        <v>0</v>
      </c>
      <c r="D58" s="4">
        <f>COUNTIF(DATA_SURAT_PELANTIKAN!$H$2:$H$55,B58)</f>
        <v>0</v>
      </c>
      <c r="E58" s="4">
        <f>COUNTIF(DATA_SURAT_PELANTIKAN!$I$2:$I$55,B58)</f>
        <v>0</v>
      </c>
      <c r="F58" s="4">
        <f>COUNTIF(DATA_SURAT_PELANTIKAN!$J$2:$J$55,B58)</f>
        <v>1</v>
      </c>
      <c r="G58" s="6">
        <f t="shared" si="0"/>
        <v>1</v>
      </c>
      <c r="H58" s="4">
        <f>COUNTIF(DATA_SURAT_PELANTIKAN!$G$56:$G$132,B58)</f>
        <v>0</v>
      </c>
      <c r="I58" s="4">
        <f>COUNTIF(DATA_SURAT_PELANTIKAN!$H$56:$H$132,B58)</f>
        <v>0</v>
      </c>
      <c r="J58" s="4">
        <f>COUNTIF(DATA_SURAT_PELANTIKAN!$I$56:$I$132,B58)</f>
        <v>1</v>
      </c>
      <c r="K58" s="4">
        <f>COUNTIF(DATA_SURAT_PELANTIKAN!$J$56:$J$132,B58)</f>
        <v>2</v>
      </c>
      <c r="L58" s="6">
        <f t="shared" si="1"/>
        <v>3</v>
      </c>
    </row>
    <row r="59" spans="1:12" ht="28.5" customHeight="1">
      <c r="A59" s="4">
        <v>55</v>
      </c>
      <c r="B59" s="7" t="s">
        <v>131</v>
      </c>
      <c r="C59" s="4">
        <f>COUNTIF(DATA_SURAT_PELANTIKAN!$G$2:$G$55,B59)</f>
        <v>1</v>
      </c>
      <c r="D59" s="4">
        <f>COUNTIF(DATA_SURAT_PELANTIKAN!$H$2:$H$55,B59)</f>
        <v>0</v>
      </c>
      <c r="E59" s="4">
        <f>COUNTIF(DATA_SURAT_PELANTIKAN!$I$2:$I$55,B59)</f>
        <v>0</v>
      </c>
      <c r="F59" s="4">
        <f>COUNTIF(DATA_SURAT_PELANTIKAN!$J$2:$J$55,B59)</f>
        <v>0</v>
      </c>
      <c r="G59" s="6">
        <f t="shared" si="0"/>
        <v>1</v>
      </c>
      <c r="H59" s="4">
        <f>COUNTIF(DATA_SURAT_PELANTIKAN!$G$56:$G$132,B59)</f>
        <v>0</v>
      </c>
      <c r="I59" s="4">
        <f>COUNTIF(DATA_SURAT_PELANTIKAN!$H$56:$H$132,B59)</f>
        <v>1</v>
      </c>
      <c r="J59" s="4">
        <f>COUNTIF(DATA_SURAT_PELANTIKAN!$I$56:$I$132,B59)</f>
        <v>0</v>
      </c>
      <c r="K59" s="4">
        <f>COUNTIF(DATA_SURAT_PELANTIKAN!$J$56:$J$132,B59)</f>
        <v>0</v>
      </c>
      <c r="L59" s="6">
        <f t="shared" si="1"/>
        <v>1</v>
      </c>
    </row>
    <row r="60" spans="1:12" ht="28.5" customHeight="1">
      <c r="A60" s="4">
        <v>56</v>
      </c>
      <c r="B60" s="7" t="s">
        <v>155</v>
      </c>
      <c r="C60" s="4">
        <f>COUNTIF(DATA_SURAT_PELANTIKAN!$G$2:$G$55,B60)</f>
        <v>1</v>
      </c>
      <c r="D60" s="4">
        <f>COUNTIF(DATA_SURAT_PELANTIKAN!$H$2:$H$55,B60)</f>
        <v>0</v>
      </c>
      <c r="E60" s="4">
        <f>COUNTIF(DATA_SURAT_PELANTIKAN!$I$2:$I$55,B60)</f>
        <v>0</v>
      </c>
      <c r="F60" s="4">
        <f>COUNTIF(DATA_SURAT_PELANTIKAN!$J$2:$J$55,B60)</f>
        <v>0</v>
      </c>
      <c r="G60" s="6">
        <f t="shared" si="0"/>
        <v>1</v>
      </c>
      <c r="H60" s="4">
        <f>COUNTIF(DATA_SURAT_PELANTIKAN!$G$56:$G$132,B60)</f>
        <v>1</v>
      </c>
      <c r="I60" s="4">
        <f>COUNTIF(DATA_SURAT_PELANTIKAN!$H$56:$H$132,B60)</f>
        <v>0</v>
      </c>
      <c r="J60" s="4">
        <f>COUNTIF(DATA_SURAT_PELANTIKAN!$I$56:$I$132,B60)</f>
        <v>1</v>
      </c>
      <c r="K60" s="4">
        <f>COUNTIF(DATA_SURAT_PELANTIKAN!$J$56:$J$132,B60)</f>
        <v>0</v>
      </c>
      <c r="L60" s="6">
        <f t="shared" si="1"/>
        <v>2</v>
      </c>
    </row>
    <row r="61" spans="1:12" ht="28.5" customHeight="1">
      <c r="A61" s="4">
        <v>57</v>
      </c>
      <c r="B61" s="7" t="s">
        <v>89</v>
      </c>
      <c r="C61" s="4">
        <f>COUNTIF(DATA_SURAT_PELANTIKAN!$G$2:$G$55,B61)</f>
        <v>2</v>
      </c>
      <c r="D61" s="4">
        <f>COUNTIF(DATA_SURAT_PELANTIKAN!$H$2:$H$55,B61)</f>
        <v>1</v>
      </c>
      <c r="E61" s="4">
        <f>COUNTIF(DATA_SURAT_PELANTIKAN!$I$2:$I$55,B61)</f>
        <v>0</v>
      </c>
      <c r="F61" s="4">
        <f>COUNTIF(DATA_SURAT_PELANTIKAN!$J$2:$J$55,B61)</f>
        <v>1</v>
      </c>
      <c r="G61" s="6">
        <f t="shared" si="0"/>
        <v>4</v>
      </c>
      <c r="H61" s="4">
        <f>COUNTIF(DATA_SURAT_PELANTIKAN!$G$56:$G$132,B61)</f>
        <v>4</v>
      </c>
      <c r="I61" s="4">
        <f>COUNTIF(DATA_SURAT_PELANTIKAN!$H$56:$H$132,B61)</f>
        <v>1</v>
      </c>
      <c r="J61" s="4">
        <f>COUNTIF(DATA_SURAT_PELANTIKAN!$I$56:$I$132,B61)</f>
        <v>0</v>
      </c>
      <c r="K61" s="4">
        <f>COUNTIF(DATA_SURAT_PELANTIKAN!$J$56:$J$132,B61)</f>
        <v>1</v>
      </c>
      <c r="L61" s="6">
        <f t="shared" si="1"/>
        <v>6</v>
      </c>
    </row>
    <row r="62" spans="1:12" ht="28.5" customHeight="1">
      <c r="A62" s="38">
        <v>58</v>
      </c>
      <c r="B62" s="45" t="s">
        <v>115</v>
      </c>
      <c r="C62" s="38">
        <f>COUNTIF(DATA_SURAT_PELANTIKAN!$G$2:$G$55,B62)</f>
        <v>0</v>
      </c>
      <c r="D62" s="38">
        <f>COUNTIF(DATA_SURAT_PELANTIKAN!$H$2:$H$55,B62)</f>
        <v>0</v>
      </c>
      <c r="E62" s="38">
        <f>COUNTIF(DATA_SURAT_PELANTIKAN!$I$2:$I$55,B62)</f>
        <v>1</v>
      </c>
      <c r="F62" s="38">
        <f>COUNTIF(DATA_SURAT_PELANTIKAN!$J$2:$J$55,B62)</f>
        <v>0</v>
      </c>
      <c r="G62" s="40">
        <f t="shared" si="0"/>
        <v>1</v>
      </c>
      <c r="H62" s="38">
        <f>COUNTIF(DATA_SURAT_PELANTIKAN!$G$56:$G$132,B62)</f>
        <v>0</v>
      </c>
      <c r="I62" s="38">
        <f>COUNTIF(DATA_SURAT_PELANTIKAN!$H$56:$H$132,B62)</f>
        <v>0</v>
      </c>
      <c r="J62" s="38">
        <f>COUNTIF(DATA_SURAT_PELANTIKAN!$I$56:$I$132,B62)</f>
        <v>0</v>
      </c>
      <c r="K62" s="38">
        <f>COUNTIF(DATA_SURAT_PELANTIKAN!$J$56:$J$132,B62)</f>
        <v>0</v>
      </c>
      <c r="L62" s="40">
        <f t="shared" si="1"/>
        <v>0</v>
      </c>
    </row>
    <row r="63" spans="1:12" ht="28.5" customHeight="1">
      <c r="A63" s="4">
        <v>59</v>
      </c>
      <c r="B63" s="9" t="s">
        <v>165</v>
      </c>
      <c r="C63" s="4">
        <f>COUNTIF(DATA_SURAT_PELANTIKAN!$G$2:$G$55,B63)</f>
        <v>0</v>
      </c>
      <c r="D63" s="4">
        <f>COUNTIF(DATA_SURAT_PELANTIKAN!$H$2:$H$55,B63)</f>
        <v>1</v>
      </c>
      <c r="E63" s="4">
        <f>COUNTIF(DATA_SURAT_PELANTIKAN!$I$2:$I$55,B63)</f>
        <v>0</v>
      </c>
      <c r="F63" s="4">
        <f>COUNTIF(DATA_SURAT_PELANTIKAN!$J$2:$J$55,B63)</f>
        <v>0</v>
      </c>
      <c r="G63" s="6">
        <f t="shared" si="0"/>
        <v>1</v>
      </c>
      <c r="H63" s="4">
        <f>COUNTIF(DATA_SURAT_PELANTIKAN!$G$56:$G$132,B63)</f>
        <v>2</v>
      </c>
      <c r="I63" s="4">
        <f>COUNTIF(DATA_SURAT_PELANTIKAN!$H$56:$H$132,B63)</f>
        <v>1</v>
      </c>
      <c r="J63" s="4">
        <f>COUNTIF(DATA_SURAT_PELANTIKAN!$I$56:$I$132,B63)</f>
        <v>0</v>
      </c>
      <c r="K63" s="4">
        <f>COUNTIF(DATA_SURAT_PELANTIKAN!$J$56:$J$132,B63)</f>
        <v>1</v>
      </c>
      <c r="L63" s="6">
        <f t="shared" si="1"/>
        <v>4</v>
      </c>
    </row>
    <row r="64" spans="1:12" ht="28.5" customHeight="1">
      <c r="A64" s="4">
        <v>60</v>
      </c>
      <c r="B64" s="7" t="s">
        <v>109</v>
      </c>
      <c r="C64" s="4">
        <f>COUNTIF(DATA_SURAT_PELANTIKAN!$G$2:$G$55,B64)</f>
        <v>0</v>
      </c>
      <c r="D64" s="4">
        <f>COUNTIF(DATA_SURAT_PELANTIKAN!$H$2:$H$55,B64)</f>
        <v>1</v>
      </c>
      <c r="E64" s="4">
        <f>COUNTIF(DATA_SURAT_PELANTIKAN!$I$2:$I$55,B64)</f>
        <v>0</v>
      </c>
      <c r="F64" s="4">
        <f>COUNTIF(DATA_SURAT_PELANTIKAN!$J$2:$J$55,B64)</f>
        <v>0</v>
      </c>
      <c r="G64" s="6">
        <f t="shared" si="0"/>
        <v>1</v>
      </c>
      <c r="H64" s="4">
        <f>COUNTIF(DATA_SURAT_PELANTIKAN!$G$56:$G$132,B64)</f>
        <v>3</v>
      </c>
      <c r="I64" s="4">
        <f>COUNTIF(DATA_SURAT_PELANTIKAN!$H$56:$H$132,B64)</f>
        <v>1</v>
      </c>
      <c r="J64" s="4">
        <f>COUNTIF(DATA_SURAT_PELANTIKAN!$I$56:$I$132,B64)</f>
        <v>0</v>
      </c>
      <c r="K64" s="4">
        <f>COUNTIF(DATA_SURAT_PELANTIKAN!$J$56:$J$132,B64)</f>
        <v>1</v>
      </c>
      <c r="L64" s="6">
        <f t="shared" si="1"/>
        <v>5</v>
      </c>
    </row>
    <row r="65" spans="1:26" ht="28.5" customHeight="1">
      <c r="A65" s="4">
        <v>61</v>
      </c>
      <c r="B65" s="5" t="s">
        <v>168</v>
      </c>
      <c r="C65" s="4">
        <f>COUNTIF(DATA_SURAT_PELANTIKAN!$G$2:$G$55,B65)</f>
        <v>0</v>
      </c>
      <c r="D65" s="4">
        <f>COUNTIF(DATA_SURAT_PELANTIKAN!$H$2:$H$55,B65)</f>
        <v>1</v>
      </c>
      <c r="E65" s="4">
        <f>COUNTIF(DATA_SURAT_PELANTIKAN!$I$2:$I$55,B65)</f>
        <v>0</v>
      </c>
      <c r="F65" s="4">
        <f>COUNTIF(DATA_SURAT_PELANTIKAN!$J$2:$J$55,B65)</f>
        <v>0</v>
      </c>
      <c r="G65" s="6">
        <f t="shared" si="0"/>
        <v>1</v>
      </c>
      <c r="H65" s="4">
        <f>COUNTIF(DATA_SURAT_PELANTIKAN!$G$56:$G$132,B65)</f>
        <v>0</v>
      </c>
      <c r="I65" s="4">
        <f>COUNTIF(DATA_SURAT_PELANTIKAN!$H$56:$H$132,B65)</f>
        <v>1</v>
      </c>
      <c r="J65" s="4">
        <f>COUNTIF(DATA_SURAT_PELANTIKAN!$I$56:$I$132,B65)</f>
        <v>0</v>
      </c>
      <c r="K65" s="4">
        <f>COUNTIF(DATA_SURAT_PELANTIKAN!$J$56:$J$132,B65)</f>
        <v>0</v>
      </c>
      <c r="L65" s="6">
        <f t="shared" si="1"/>
        <v>1</v>
      </c>
    </row>
    <row r="66" spans="1:26" ht="28.5" customHeight="1">
      <c r="A66" s="4">
        <v>62</v>
      </c>
      <c r="B66" s="5" t="s">
        <v>186</v>
      </c>
      <c r="C66" s="4">
        <f>COUNTIF(DATA_SURAT_PELANTIKAN!$G$2:$G$55,B66)</f>
        <v>1</v>
      </c>
      <c r="D66" s="4">
        <f>COUNTIF(DATA_SURAT_PELANTIKAN!$H$2:$H$55,B66)</f>
        <v>0</v>
      </c>
      <c r="E66" s="4">
        <f>COUNTIF(DATA_SURAT_PELANTIKAN!$I$2:$I$55,B66)</f>
        <v>0</v>
      </c>
      <c r="F66" s="4">
        <f>COUNTIF(DATA_SURAT_PELANTIKAN!$J$2:$J$55,B66)</f>
        <v>1</v>
      </c>
      <c r="G66" s="6">
        <f t="shared" si="0"/>
        <v>2</v>
      </c>
      <c r="H66" s="4">
        <f>COUNTIF(DATA_SURAT_PELANTIKAN!$G$56:$G$132,B66)</f>
        <v>1</v>
      </c>
      <c r="I66" s="4">
        <f>COUNTIF(DATA_SURAT_PELANTIKAN!$H$56:$H$132,B66)</f>
        <v>0</v>
      </c>
      <c r="J66" s="4">
        <f>COUNTIF(DATA_SURAT_PELANTIKAN!$I$56:$I$132,B66)</f>
        <v>0</v>
      </c>
      <c r="K66" s="4">
        <f>COUNTIF(DATA_SURAT_PELANTIKAN!$J$56:$J$132,B66)</f>
        <v>4</v>
      </c>
      <c r="L66" s="6">
        <f t="shared" si="1"/>
        <v>5</v>
      </c>
    </row>
    <row r="67" spans="1:26" ht="28.5" customHeight="1">
      <c r="A67" s="4">
        <v>63</v>
      </c>
      <c r="B67" s="5" t="s">
        <v>171</v>
      </c>
      <c r="C67" s="4">
        <f>COUNTIF(DATA_SURAT_PELANTIKAN!$G$2:$G$55,B67)</f>
        <v>0</v>
      </c>
      <c r="D67" s="4">
        <f>COUNTIF(DATA_SURAT_PELANTIKAN!$H$2:$H$55,B67)</f>
        <v>3</v>
      </c>
      <c r="E67" s="4">
        <f>COUNTIF(DATA_SURAT_PELANTIKAN!$I$2:$I$55,B67)</f>
        <v>0</v>
      </c>
      <c r="F67" s="4">
        <f>COUNTIF(DATA_SURAT_PELANTIKAN!$J$2:$J$55,B67)</f>
        <v>0</v>
      </c>
      <c r="G67" s="6">
        <f t="shared" si="0"/>
        <v>3</v>
      </c>
      <c r="H67" s="4">
        <f>COUNTIF(DATA_SURAT_PELANTIKAN!$G$56:$G$132,B67)</f>
        <v>0</v>
      </c>
      <c r="I67" s="4">
        <f>COUNTIF(DATA_SURAT_PELANTIKAN!$H$56:$H$132,B67)</f>
        <v>3</v>
      </c>
      <c r="J67" s="4">
        <f>COUNTIF(DATA_SURAT_PELANTIKAN!$I$56:$I$132,B67)</f>
        <v>0</v>
      </c>
      <c r="K67" s="4">
        <f>COUNTIF(DATA_SURAT_PELANTIKAN!$J$56:$J$132,B67)</f>
        <v>0</v>
      </c>
      <c r="L67" s="6">
        <f t="shared" si="1"/>
        <v>3</v>
      </c>
    </row>
    <row r="68" spans="1:26" ht="28.5" customHeight="1">
      <c r="A68" s="4">
        <v>64</v>
      </c>
      <c r="B68" s="9" t="s">
        <v>236</v>
      </c>
      <c r="C68" s="4">
        <f>COUNTIF(DATA_SURAT_PELANTIKAN!$G$2:$G$55,B68)</f>
        <v>0</v>
      </c>
      <c r="D68" s="4">
        <f>COUNTIF(DATA_SURAT_PELANTIKAN!$H$2:$H$55,B68)</f>
        <v>0</v>
      </c>
      <c r="E68" s="4">
        <f>COUNTIF(DATA_SURAT_PELANTIKAN!$I$2:$I$55,B68)</f>
        <v>0</v>
      </c>
      <c r="F68" s="4">
        <f>COUNTIF(DATA_SURAT_PELANTIKAN!$J$2:$J$55,B68)</f>
        <v>0</v>
      </c>
      <c r="G68" s="6">
        <f t="shared" si="0"/>
        <v>0</v>
      </c>
      <c r="H68" s="4">
        <f>COUNTIF(DATA_SURAT_PELANTIKAN!$G$56:$G$132,B68)</f>
        <v>1</v>
      </c>
      <c r="I68" s="4">
        <f>COUNTIF(DATA_SURAT_PELANTIKAN!$H$56:$H$132,B68)</f>
        <v>0</v>
      </c>
      <c r="J68" s="4">
        <f>COUNTIF(DATA_SURAT_PELANTIKAN!$I$56:$I$132,B68)</f>
        <v>1</v>
      </c>
      <c r="K68" s="4">
        <f>COUNTIF(DATA_SURAT_PELANTIKAN!$J$56:$J$132,B68)</f>
        <v>2</v>
      </c>
      <c r="L68" s="6">
        <f t="shared" si="1"/>
        <v>4</v>
      </c>
    </row>
    <row r="69" spans="1:26" ht="28.5" customHeight="1">
      <c r="A69" s="4">
        <v>65</v>
      </c>
      <c r="B69" s="7" t="s">
        <v>49</v>
      </c>
      <c r="C69" s="4">
        <f>COUNTIF(DATA_SURAT_PELANTIKAN!$G$2:$G$55,B69)</f>
        <v>0</v>
      </c>
      <c r="D69" s="4">
        <f>COUNTIF(DATA_SURAT_PELANTIKAN!$H$2:$H$55,B69)</f>
        <v>1</v>
      </c>
      <c r="E69" s="4">
        <f>COUNTIF(DATA_SURAT_PELANTIKAN!$I$2:$I$55,B69)</f>
        <v>0</v>
      </c>
      <c r="F69" s="4">
        <f>COUNTIF(DATA_SURAT_PELANTIKAN!$J$2:$J$55,B69)</f>
        <v>0</v>
      </c>
      <c r="G69" s="6">
        <f t="shared" si="0"/>
        <v>1</v>
      </c>
      <c r="H69" s="4">
        <f>COUNTIF(DATA_SURAT_PELANTIKAN!$G$56:$G$132,B69)</f>
        <v>0</v>
      </c>
      <c r="I69" s="4">
        <f>COUNTIF(DATA_SURAT_PELANTIKAN!$H$56:$H$132,B69)</f>
        <v>1</v>
      </c>
      <c r="J69" s="4">
        <f>COUNTIF(DATA_SURAT_PELANTIKAN!$I$56:$I$132,B69)</f>
        <v>0</v>
      </c>
      <c r="K69" s="4">
        <f>COUNTIF(DATA_SURAT_PELANTIKAN!$J$56:$J$132,B69)</f>
        <v>0</v>
      </c>
      <c r="L69" s="6">
        <f t="shared" si="1"/>
        <v>1</v>
      </c>
    </row>
    <row r="70" spans="1:26" ht="28.5" customHeight="1">
      <c r="A70" s="4">
        <v>66</v>
      </c>
      <c r="B70" s="7" t="s">
        <v>52</v>
      </c>
      <c r="C70" s="4">
        <f>COUNTIF(DATA_SURAT_PELANTIKAN!$G$2:$G$55,B70)</f>
        <v>0</v>
      </c>
      <c r="D70" s="4">
        <f>COUNTIF(DATA_SURAT_PELANTIKAN!$H$2:$H$55,B70)</f>
        <v>1</v>
      </c>
      <c r="E70" s="4">
        <f>COUNTIF(DATA_SURAT_PELANTIKAN!$I$2:$I$55,B70)</f>
        <v>0</v>
      </c>
      <c r="F70" s="4">
        <f>COUNTIF(DATA_SURAT_PELANTIKAN!$J$2:$J$55,B70)</f>
        <v>0</v>
      </c>
      <c r="G70" s="6">
        <f t="shared" si="0"/>
        <v>1</v>
      </c>
      <c r="H70" s="4">
        <f>COUNTIF(DATA_SURAT_PELANTIKAN!$G$56:$G$132,B70)</f>
        <v>0</v>
      </c>
      <c r="I70" s="4">
        <f>COUNTIF(DATA_SURAT_PELANTIKAN!$H$56:$H$132,B70)</f>
        <v>2</v>
      </c>
      <c r="J70" s="4">
        <f>COUNTIF(DATA_SURAT_PELANTIKAN!$I$56:$I$132,B70)</f>
        <v>0</v>
      </c>
      <c r="K70" s="4">
        <f>COUNTIF(DATA_SURAT_PELANTIKAN!$J$56:$J$132,B70)</f>
        <v>0</v>
      </c>
      <c r="L70" s="6">
        <f t="shared" si="1"/>
        <v>2</v>
      </c>
    </row>
    <row r="71" spans="1:26" ht="28.5" customHeight="1">
      <c r="A71" s="4">
        <v>67</v>
      </c>
      <c r="B71" s="7" t="s">
        <v>72</v>
      </c>
      <c r="C71" s="4">
        <f>COUNTIF(DATA_SURAT_PELANTIKAN!$G$2:$G$55,B71)</f>
        <v>0</v>
      </c>
      <c r="D71" s="4">
        <f>COUNTIF(DATA_SURAT_PELANTIKAN!$H$2:$H$55,B71)</f>
        <v>3</v>
      </c>
      <c r="E71" s="4">
        <f>COUNTIF(DATA_SURAT_PELANTIKAN!$I$2:$I$55,B71)</f>
        <v>0</v>
      </c>
      <c r="F71" s="4">
        <f>COUNTIF(DATA_SURAT_PELANTIKAN!$J$2:$J$55,B71)</f>
        <v>0</v>
      </c>
      <c r="G71" s="6">
        <f t="shared" si="0"/>
        <v>3</v>
      </c>
      <c r="H71" s="4">
        <f>COUNTIF(DATA_SURAT_PELANTIKAN!$G$56:$G$132,B71)</f>
        <v>0</v>
      </c>
      <c r="I71" s="4">
        <f>COUNTIF(DATA_SURAT_PELANTIKAN!$H$56:$H$132,B71)</f>
        <v>2</v>
      </c>
      <c r="J71" s="4">
        <f>COUNTIF(DATA_SURAT_PELANTIKAN!$I$56:$I$132,B71)</f>
        <v>0</v>
      </c>
      <c r="K71" s="4">
        <f>COUNTIF(DATA_SURAT_PELANTIKAN!$J$56:$J$132,B71)</f>
        <v>0</v>
      </c>
      <c r="L71" s="6">
        <f t="shared" si="1"/>
        <v>2</v>
      </c>
    </row>
    <row r="72" spans="1:26" ht="28.5" customHeight="1">
      <c r="A72" s="4">
        <v>68</v>
      </c>
      <c r="B72" s="7" t="s">
        <v>362</v>
      </c>
      <c r="C72" s="4">
        <f>COUNTIF(DATA_SURAT_PELANTIKAN!$G$2:$G$55,B72)</f>
        <v>0</v>
      </c>
      <c r="D72" s="4">
        <f>COUNTIF(DATA_SURAT_PELANTIKAN!$H$2:$H$55,B72)</f>
        <v>1</v>
      </c>
      <c r="E72" s="4">
        <f>COUNTIF(DATA_SURAT_PELANTIKAN!$I$2:$I$55,B72)</f>
        <v>0</v>
      </c>
      <c r="F72" s="4">
        <f>COUNTIF(DATA_SURAT_PELANTIKAN!$J$2:$J$55,B72)</f>
        <v>0</v>
      </c>
      <c r="G72" s="6">
        <f t="shared" si="0"/>
        <v>1</v>
      </c>
      <c r="H72" s="4">
        <f>COUNTIF(DATA_SURAT_PELANTIKAN!$G$56:$G$132,B72)</f>
        <v>0</v>
      </c>
      <c r="I72" s="4">
        <f>COUNTIF(DATA_SURAT_PELANTIKAN!$H$56:$H$132,B72)</f>
        <v>1</v>
      </c>
      <c r="J72" s="4">
        <f>COUNTIF(DATA_SURAT_PELANTIKAN!$I$56:$I$132,B72)</f>
        <v>0</v>
      </c>
      <c r="K72" s="4">
        <f>COUNTIF(DATA_SURAT_PELANTIKAN!$J$56:$J$132,B72)</f>
        <v>0</v>
      </c>
      <c r="L72" s="6">
        <f t="shared" si="1"/>
        <v>1</v>
      </c>
    </row>
    <row r="73" spans="1:26" ht="28.5" customHeight="1">
      <c r="A73" s="4">
        <v>69</v>
      </c>
      <c r="B73" s="7" t="s">
        <v>79</v>
      </c>
      <c r="C73" s="4">
        <f>COUNTIF(DATA_SURAT_PELANTIKAN!$G$2:$G$55,B73)</f>
        <v>0</v>
      </c>
      <c r="D73" s="4">
        <f>COUNTIF(DATA_SURAT_PELANTIKAN!$H$2:$H$55,B73)</f>
        <v>2</v>
      </c>
      <c r="E73" s="4">
        <f>COUNTIF(DATA_SURAT_PELANTIKAN!$I$2:$I$55,B73)</f>
        <v>0</v>
      </c>
      <c r="F73" s="4">
        <f>COUNTIF(DATA_SURAT_PELANTIKAN!$J$2:$J$55,B73)</f>
        <v>0</v>
      </c>
      <c r="G73" s="6">
        <f t="shared" si="0"/>
        <v>2</v>
      </c>
      <c r="H73" s="4">
        <f>COUNTIF(DATA_SURAT_PELANTIKAN!$G$56:$G$132,B73)</f>
        <v>0</v>
      </c>
      <c r="I73" s="4">
        <f>COUNTIF(DATA_SURAT_PELANTIKAN!$H$56:$H$132,B73)</f>
        <v>0</v>
      </c>
      <c r="J73" s="4">
        <f>COUNTIF(DATA_SURAT_PELANTIKAN!$I$56:$I$132,B73)</f>
        <v>0</v>
      </c>
      <c r="K73" s="4">
        <f>COUNTIF(DATA_SURAT_PELANTIKAN!$J$56:$J$132,B73)</f>
        <v>0</v>
      </c>
      <c r="L73" s="6">
        <f t="shared" si="1"/>
        <v>0</v>
      </c>
    </row>
    <row r="74" spans="1:26" ht="28.5" customHeight="1">
      <c r="A74" s="4">
        <v>70</v>
      </c>
      <c r="B74" s="7" t="s">
        <v>141</v>
      </c>
      <c r="C74" s="4">
        <f>COUNTIF(DATA_SURAT_PELANTIKAN!$G$2:$G$55,B74)</f>
        <v>0</v>
      </c>
      <c r="D74" s="4">
        <f>COUNTIF(DATA_SURAT_PELANTIKAN!$H$2:$H$55,B74)</f>
        <v>2</v>
      </c>
      <c r="E74" s="4">
        <f>COUNTIF(DATA_SURAT_PELANTIKAN!$I$2:$I$55,B74)</f>
        <v>0</v>
      </c>
      <c r="F74" s="4">
        <f>COUNTIF(DATA_SURAT_PELANTIKAN!$J$2:$J$55,B74)</f>
        <v>0</v>
      </c>
      <c r="G74" s="6">
        <f t="shared" si="0"/>
        <v>2</v>
      </c>
      <c r="H74" s="4">
        <f>COUNTIF(DATA_SURAT_PELANTIKAN!$G$56:$G$132,B74)</f>
        <v>0</v>
      </c>
      <c r="I74" s="4">
        <f>COUNTIF(DATA_SURAT_PELANTIKAN!$H$56:$H$132,B74)</f>
        <v>0</v>
      </c>
      <c r="J74" s="4">
        <f>COUNTIF(DATA_SURAT_PELANTIKAN!$I$56:$I$132,B74)</f>
        <v>0</v>
      </c>
      <c r="K74" s="4">
        <f>COUNTIF(DATA_SURAT_PELANTIKAN!$J$56:$J$132,B74)</f>
        <v>0</v>
      </c>
      <c r="L74" s="6">
        <f t="shared" si="1"/>
        <v>0</v>
      </c>
    </row>
    <row r="75" spans="1:26" ht="28.5" customHeight="1">
      <c r="A75" s="4">
        <v>71</v>
      </c>
      <c r="B75" s="7" t="s">
        <v>104</v>
      </c>
      <c r="C75" s="4">
        <f>COUNTIF(DATA_SURAT_PELANTIKAN!$G$2:$G$55,B75)</f>
        <v>0</v>
      </c>
      <c r="D75" s="4">
        <f>COUNTIF(DATA_SURAT_PELANTIKAN!$H$2:$H$55,B75)</f>
        <v>1</v>
      </c>
      <c r="E75" s="4">
        <f>COUNTIF(DATA_SURAT_PELANTIKAN!$I$2:$I$55,B75)</f>
        <v>0</v>
      </c>
      <c r="F75" s="4">
        <f>COUNTIF(DATA_SURAT_PELANTIKAN!$J$2:$J$55,B75)</f>
        <v>0</v>
      </c>
      <c r="G75" s="6">
        <f t="shared" si="0"/>
        <v>1</v>
      </c>
      <c r="H75" s="4">
        <f>COUNTIF(DATA_SURAT_PELANTIKAN!$G$56:$G$132,B75)</f>
        <v>0</v>
      </c>
      <c r="I75" s="4">
        <f>COUNTIF(DATA_SURAT_PELANTIKAN!$H$56:$H$132,B75)</f>
        <v>0</v>
      </c>
      <c r="J75" s="4">
        <f>COUNTIF(DATA_SURAT_PELANTIKAN!$I$56:$I$132,B75)</f>
        <v>0</v>
      </c>
      <c r="K75" s="4">
        <f>COUNTIF(DATA_SURAT_PELANTIKAN!$J$56:$J$132,B75)</f>
        <v>0</v>
      </c>
      <c r="L75" s="6">
        <f t="shared" si="1"/>
        <v>0</v>
      </c>
    </row>
    <row r="76" spans="1:26" ht="28.5" customHeight="1">
      <c r="A76" s="4">
        <v>72</v>
      </c>
      <c r="B76" s="8" t="s">
        <v>119</v>
      </c>
      <c r="C76" s="4">
        <f>COUNTIF(DATA_SURAT_PELANTIKAN!$G$2:$G$55,B76)</f>
        <v>0</v>
      </c>
      <c r="D76" s="4">
        <f>COUNTIF(DATA_SURAT_PELANTIKAN!$H$2:$H$55,B76)</f>
        <v>1</v>
      </c>
      <c r="E76" s="4">
        <f>COUNTIF(DATA_SURAT_PELANTIKAN!$I$2:$I$55,B76)</f>
        <v>0</v>
      </c>
      <c r="F76" s="4">
        <f>COUNTIF(DATA_SURAT_PELANTIKAN!$J$2:$J$55,B76)</f>
        <v>0</v>
      </c>
      <c r="G76" s="6">
        <f t="shared" si="0"/>
        <v>1</v>
      </c>
      <c r="H76" s="4">
        <f>COUNTIF(DATA_SURAT_PELANTIKAN!$G$56:$G$132,B76)</f>
        <v>0</v>
      </c>
      <c r="I76" s="4">
        <f>COUNTIF(DATA_SURAT_PELANTIKAN!$H$56:$H$132,B76)</f>
        <v>1</v>
      </c>
      <c r="J76" s="4">
        <f>COUNTIF(DATA_SURAT_PELANTIKAN!$I$56:$I$132,B76)</f>
        <v>0</v>
      </c>
      <c r="K76" s="4">
        <f>COUNTIF(DATA_SURAT_PELANTIKAN!$J$56:$J$132,B76)</f>
        <v>0</v>
      </c>
      <c r="L76" s="6">
        <f t="shared" si="1"/>
        <v>1</v>
      </c>
    </row>
    <row r="77" spans="1:26" ht="28.5" customHeight="1">
      <c r="A77" s="4">
        <v>73</v>
      </c>
      <c r="B77" s="10" t="s">
        <v>132</v>
      </c>
      <c r="C77" s="4">
        <f>COUNTIF(DATA_SURAT_PELANTIKAN!$G$2:$G$55,B77)</f>
        <v>0</v>
      </c>
      <c r="D77" s="4">
        <f>COUNTIF(DATA_SURAT_PELANTIKAN!$H$2:$H$55,B77)</f>
        <v>1</v>
      </c>
      <c r="E77" s="4">
        <f>COUNTIF(DATA_SURAT_PELANTIKAN!$I$2:$I$55,B77)</f>
        <v>0</v>
      </c>
      <c r="F77" s="4">
        <f>COUNTIF(DATA_SURAT_PELANTIKAN!$J$2:$J$55,B77)</f>
        <v>0</v>
      </c>
      <c r="G77" s="6">
        <f t="shared" si="0"/>
        <v>1</v>
      </c>
      <c r="H77" s="4">
        <f>COUNTIF(DATA_SURAT_PELANTIKAN!$G$56:$G$132,B77)</f>
        <v>0</v>
      </c>
      <c r="I77" s="4">
        <f>COUNTIF(DATA_SURAT_PELANTIKAN!$H$56:$H$132,B77)</f>
        <v>1</v>
      </c>
      <c r="J77" s="4">
        <f>COUNTIF(DATA_SURAT_PELANTIKAN!$I$56:$I$132,B77)</f>
        <v>0</v>
      </c>
      <c r="K77" s="4">
        <f>COUNTIF(DATA_SURAT_PELANTIKAN!$J$56:$J$132,B77)</f>
        <v>0</v>
      </c>
      <c r="L77" s="6">
        <f t="shared" si="1"/>
        <v>1</v>
      </c>
    </row>
    <row r="78" spans="1:26" ht="28.5" customHeight="1">
      <c r="A78" s="4">
        <v>74</v>
      </c>
      <c r="B78" s="8" t="s">
        <v>136</v>
      </c>
      <c r="C78" s="4">
        <f>COUNTIF(DATA_SURAT_PELANTIKAN!$G$2:$G$55,B78)</f>
        <v>0</v>
      </c>
      <c r="D78" s="4">
        <f>COUNTIF(DATA_SURAT_PELANTIKAN!$H$2:$H$55,B78)</f>
        <v>2</v>
      </c>
      <c r="E78" s="4">
        <f>COUNTIF(DATA_SURAT_PELANTIKAN!$I$2:$I$55,B78)</f>
        <v>0</v>
      </c>
      <c r="F78" s="4">
        <f>COUNTIF(DATA_SURAT_PELANTIKAN!$J$2:$J$55,B78)</f>
        <v>0</v>
      </c>
      <c r="G78" s="6">
        <f t="shared" si="0"/>
        <v>2</v>
      </c>
      <c r="H78" s="4">
        <f>COUNTIF(DATA_SURAT_PELANTIKAN!$G$56:$G$132,B78)</f>
        <v>0</v>
      </c>
      <c r="I78" s="4">
        <f>COUNTIF(DATA_SURAT_PELANTIKAN!$H$56:$H$132,B78)</f>
        <v>3</v>
      </c>
      <c r="J78" s="4">
        <f>COUNTIF(DATA_SURAT_PELANTIKAN!$I$56:$I$132,B78)</f>
        <v>0</v>
      </c>
      <c r="K78" s="4">
        <f>COUNTIF(DATA_SURAT_PELANTIKAN!$J$56:$J$132,B78)</f>
        <v>0</v>
      </c>
      <c r="L78" s="6">
        <f t="shared" si="1"/>
        <v>3</v>
      </c>
    </row>
    <row r="79" spans="1:26" s="47" customFormat="1" ht="28.5" customHeight="1">
      <c r="A79" s="35">
        <v>75</v>
      </c>
      <c r="B79" s="48" t="s">
        <v>116</v>
      </c>
      <c r="C79" s="49">
        <f>COUNTIF(DATA_SURAT_PELANTIKAN!$G$2:$G$55,B79)</f>
        <v>0</v>
      </c>
      <c r="D79" s="49">
        <f>COUNTIF(DATA_SURAT_PELANTIKAN!$H$2:$H$55,B79)</f>
        <v>0</v>
      </c>
      <c r="E79" s="49">
        <f>COUNTIF(DATA_SURAT_PELANTIKAN!$I$2:$I$55,B79)</f>
        <v>0</v>
      </c>
      <c r="F79" s="49">
        <f>COUNTIF(DATA_SURAT_PELANTIKAN!$J$2:$J$55,B79)</f>
        <v>1</v>
      </c>
      <c r="G79" s="37">
        <f t="shared" si="0"/>
        <v>1</v>
      </c>
      <c r="H79" s="49">
        <f>COUNTIF(DATA_SURAT_PELANTIKAN!$G$56:$G$132,B79)</f>
        <v>0</v>
      </c>
      <c r="I79" s="49">
        <f>COUNTIF(DATA_SURAT_PELANTIKAN!$H$56:$H$132,B79)</f>
        <v>0</v>
      </c>
      <c r="J79" s="49">
        <f>COUNTIF(DATA_SURAT_PELANTIKAN!$I$56:$I$132,B79)</f>
        <v>0</v>
      </c>
      <c r="K79" s="49">
        <f>COUNTIF(DATA_SURAT_PELANTIKAN!$J$56:$J$132,B79)</f>
        <v>0</v>
      </c>
      <c r="L79" s="37">
        <f t="shared" si="1"/>
        <v>0</v>
      </c>
      <c r="M79" s="46"/>
      <c r="N79" s="46"/>
      <c r="O79" s="46"/>
      <c r="P79" s="46"/>
      <c r="Q79" s="46"/>
      <c r="R79" s="46"/>
      <c r="S79" s="46"/>
      <c r="T79" s="46"/>
      <c r="U79" s="46"/>
      <c r="V79" s="46"/>
      <c r="W79" s="46"/>
      <c r="X79" s="46"/>
      <c r="Y79" s="46"/>
      <c r="Z79" s="46"/>
    </row>
    <row r="80" spans="1:26" s="47" customFormat="1" ht="28.5" customHeight="1">
      <c r="A80" s="35">
        <v>76</v>
      </c>
      <c r="B80" s="50" t="s">
        <v>133</v>
      </c>
      <c r="C80" s="49">
        <f>COUNTIF(DATA_SURAT_PELANTIKAN!$G$2:$G$55,B80)</f>
        <v>0</v>
      </c>
      <c r="D80" s="49">
        <f>COUNTIF(DATA_SURAT_PELANTIKAN!$H$2:$H$55,B80)</f>
        <v>0</v>
      </c>
      <c r="E80" s="49">
        <f>COUNTIF(DATA_SURAT_PELANTIKAN!$I$2:$I$55,B80)</f>
        <v>0</v>
      </c>
      <c r="F80" s="49">
        <f>COUNTIF(DATA_SURAT_PELANTIKAN!$J$2:$J$55,B80)</f>
        <v>1</v>
      </c>
      <c r="G80" s="37">
        <f t="shared" si="0"/>
        <v>1</v>
      </c>
      <c r="H80" s="49">
        <f>COUNTIF(DATA_SURAT_PELANTIKAN!$G$56:$G$132,B80)</f>
        <v>0</v>
      </c>
      <c r="I80" s="49">
        <f>COUNTIF(DATA_SURAT_PELANTIKAN!$H$56:$H$132,B80)</f>
        <v>0</v>
      </c>
      <c r="J80" s="49">
        <f>COUNTIF(DATA_SURAT_PELANTIKAN!$I$56:$I$132,B80)</f>
        <v>0</v>
      </c>
      <c r="K80" s="49">
        <f>COUNTIF(DATA_SURAT_PELANTIKAN!$J$56:$J$132,B80)</f>
        <v>0</v>
      </c>
      <c r="L80" s="37">
        <f t="shared" si="1"/>
        <v>0</v>
      </c>
      <c r="M80" s="46"/>
      <c r="N80" s="46"/>
      <c r="O80" s="46"/>
      <c r="P80" s="46"/>
      <c r="Q80" s="46"/>
      <c r="R80" s="46"/>
      <c r="S80" s="46"/>
      <c r="T80" s="46"/>
      <c r="U80" s="46"/>
      <c r="V80" s="46"/>
      <c r="W80" s="46"/>
      <c r="X80" s="46"/>
      <c r="Y80" s="46"/>
      <c r="Z80" s="46"/>
    </row>
    <row r="81" spans="1:26" s="47" customFormat="1" ht="28.5" customHeight="1">
      <c r="A81" s="35">
        <v>77</v>
      </c>
      <c r="B81" s="50" t="s">
        <v>206</v>
      </c>
      <c r="C81" s="49">
        <f>COUNTIF(DATA_SURAT_PELANTIKAN!$G$2:$G$55,B81)</f>
        <v>0</v>
      </c>
      <c r="D81" s="49">
        <f>COUNTIF(DATA_SURAT_PELANTIKAN!$H$2:$H$55,B81)</f>
        <v>0</v>
      </c>
      <c r="E81" s="49">
        <f>COUNTIF(DATA_SURAT_PELANTIKAN!$I$2:$I$55,B81)</f>
        <v>0</v>
      </c>
      <c r="F81" s="49">
        <f>COUNTIF(DATA_SURAT_PELANTIKAN!$J$2:$J$55,B81)</f>
        <v>0</v>
      </c>
      <c r="G81" s="37">
        <f t="shared" si="0"/>
        <v>0</v>
      </c>
      <c r="H81" s="49">
        <f>COUNTIF(DATA_SURAT_PELANTIKAN!$G$56:$G$132,B81)</f>
        <v>0</v>
      </c>
      <c r="I81" s="49">
        <f>COUNTIF(DATA_SURAT_PELANTIKAN!$H$56:$H$132,B81)</f>
        <v>0</v>
      </c>
      <c r="J81" s="49">
        <f>COUNTIF(DATA_SURAT_PELANTIKAN!$I$56:$I$132,B81)</f>
        <v>0</v>
      </c>
      <c r="K81" s="49">
        <f>COUNTIF(DATA_SURAT_PELANTIKAN!$J$56:$J$132,B81)</f>
        <v>0</v>
      </c>
      <c r="L81" s="37">
        <f t="shared" si="1"/>
        <v>0</v>
      </c>
      <c r="M81" s="46"/>
      <c r="N81" s="46"/>
      <c r="O81" s="46"/>
      <c r="P81" s="46"/>
      <c r="Q81" s="46"/>
      <c r="R81" s="46"/>
      <c r="S81" s="46"/>
      <c r="T81" s="46"/>
      <c r="U81" s="46"/>
      <c r="V81" s="46"/>
      <c r="W81" s="46"/>
      <c r="X81" s="46"/>
      <c r="Y81" s="46"/>
      <c r="Z81" s="46"/>
    </row>
    <row r="82" spans="1:26" ht="28.5" customHeight="1">
      <c r="A82" s="4">
        <v>78</v>
      </c>
      <c r="B82" s="5" t="s">
        <v>209</v>
      </c>
      <c r="C82" s="4">
        <f>COUNTIF(DATA_SURAT_PELANTIKAN!$G$2:$G$55,B82)</f>
        <v>0</v>
      </c>
      <c r="D82" s="4">
        <f>COUNTIF(DATA_SURAT_PELANTIKAN!$H$2:$H$55,B82)</f>
        <v>0</v>
      </c>
      <c r="E82" s="4">
        <f>COUNTIF(DATA_SURAT_PELANTIKAN!$I$2:$I$55,B82)</f>
        <v>0</v>
      </c>
      <c r="F82" s="4">
        <f>COUNTIF(DATA_SURAT_PELANTIKAN!$J$2:$J$55,B82)</f>
        <v>0</v>
      </c>
      <c r="G82" s="6">
        <f t="shared" si="0"/>
        <v>0</v>
      </c>
      <c r="H82" s="4">
        <f>COUNTIF(DATA_SURAT_PELANTIKAN!$G$56:$G$132,B82)</f>
        <v>1</v>
      </c>
      <c r="I82" s="4">
        <f>COUNTIF(DATA_SURAT_PELANTIKAN!$H$56:$H$132,B82)</f>
        <v>0</v>
      </c>
      <c r="J82" s="4">
        <f>COUNTIF(DATA_SURAT_PELANTIKAN!$I$56:$I$132,B82)</f>
        <v>0</v>
      </c>
      <c r="K82" s="4">
        <f>COUNTIF(DATA_SURAT_PELANTIKAN!$J$56:$J$132,B82)</f>
        <v>0</v>
      </c>
      <c r="L82" s="6">
        <f t="shared" si="1"/>
        <v>1</v>
      </c>
      <c r="M82" s="20"/>
      <c r="N82" s="20"/>
      <c r="O82" s="20"/>
      <c r="P82" s="20"/>
      <c r="Q82" s="20"/>
      <c r="R82" s="20"/>
      <c r="S82" s="20"/>
      <c r="T82" s="20"/>
      <c r="U82" s="20"/>
      <c r="V82" s="20"/>
      <c r="W82" s="20"/>
      <c r="X82" s="20"/>
      <c r="Y82" s="20"/>
      <c r="Z82" s="20"/>
    </row>
    <row r="83" spans="1:26" ht="28.5" customHeight="1">
      <c r="A83" s="4">
        <v>79</v>
      </c>
      <c r="B83" s="7" t="s">
        <v>214</v>
      </c>
      <c r="C83" s="4">
        <f>COUNTIF(DATA_SURAT_PELANTIKAN!$G$2:$G$55,B83)</f>
        <v>0</v>
      </c>
      <c r="D83" s="4">
        <f>COUNTIF(DATA_SURAT_PELANTIKAN!$H$2:$H$55,B83)</f>
        <v>0</v>
      </c>
      <c r="E83" s="4">
        <f>COUNTIF(DATA_SURAT_PELANTIKAN!$I$2:$I$55,B83)</f>
        <v>0</v>
      </c>
      <c r="F83" s="4">
        <f>COUNTIF(DATA_SURAT_PELANTIKAN!$J$2:$J$55,B83)</f>
        <v>0</v>
      </c>
      <c r="G83" s="6">
        <f t="shared" si="0"/>
        <v>0</v>
      </c>
      <c r="H83" s="4">
        <f>COUNTIF(DATA_SURAT_PELANTIKAN!$G$56:$G$132,B83)</f>
        <v>0</v>
      </c>
      <c r="I83" s="4">
        <f>COUNTIF(DATA_SURAT_PELANTIKAN!$H$56:$H$132,B83)</f>
        <v>1</v>
      </c>
      <c r="J83" s="4">
        <f>COUNTIF(DATA_SURAT_PELANTIKAN!$I$56:$I$132,B83)</f>
        <v>0</v>
      </c>
      <c r="K83" s="4">
        <f>COUNTIF(DATA_SURAT_PELANTIKAN!$J$56:$J$132,B83)</f>
        <v>0</v>
      </c>
      <c r="L83" s="6">
        <f t="shared" si="1"/>
        <v>1</v>
      </c>
      <c r="M83" s="20"/>
      <c r="N83" s="20"/>
      <c r="O83" s="20"/>
      <c r="P83" s="20"/>
      <c r="Q83" s="20"/>
      <c r="R83" s="20"/>
      <c r="S83" s="20"/>
      <c r="T83" s="20"/>
      <c r="U83" s="20"/>
      <c r="V83" s="20"/>
      <c r="W83" s="20"/>
      <c r="X83" s="20"/>
      <c r="Y83" s="20"/>
      <c r="Z83" s="20"/>
    </row>
    <row r="84" spans="1:26" ht="28.5" customHeight="1">
      <c r="A84" s="4">
        <v>80</v>
      </c>
      <c r="B84" s="12" t="s">
        <v>248</v>
      </c>
      <c r="C84" s="4">
        <f>COUNTIF(DATA_SURAT_PELANTIKAN!$G$2:$G$55,B84)</f>
        <v>0</v>
      </c>
      <c r="D84" s="4">
        <f>COUNTIF(DATA_SURAT_PELANTIKAN!$H$2:$H$55,B84)</f>
        <v>0</v>
      </c>
      <c r="E84" s="4">
        <f>COUNTIF(DATA_SURAT_PELANTIKAN!$I$2:$I$55,B84)</f>
        <v>0</v>
      </c>
      <c r="F84" s="4">
        <f>COUNTIF(DATA_SURAT_PELANTIKAN!$J$2:$J$55,B84)</f>
        <v>0</v>
      </c>
      <c r="G84" s="6">
        <f t="shared" si="0"/>
        <v>0</v>
      </c>
      <c r="H84" s="4">
        <f>COUNTIF(DATA_SURAT_PELANTIKAN!$G$56:$G$132,B84)</f>
        <v>2</v>
      </c>
      <c r="I84" s="4">
        <f>COUNTIF(DATA_SURAT_PELANTIKAN!$H$56:$H$132,B84)</f>
        <v>6</v>
      </c>
      <c r="J84" s="4">
        <f>COUNTIF(DATA_SURAT_PELANTIKAN!$I$56:$I$132,B84)</f>
        <v>0</v>
      </c>
      <c r="K84" s="4">
        <f>COUNTIF(DATA_SURAT_PELANTIKAN!$J$56:$J$132,B84)</f>
        <v>0</v>
      </c>
      <c r="L84" s="6">
        <f t="shared" si="1"/>
        <v>8</v>
      </c>
      <c r="M84" s="20"/>
      <c r="N84" s="20"/>
      <c r="O84" s="20"/>
      <c r="P84" s="20"/>
      <c r="Q84" s="20"/>
      <c r="R84" s="20"/>
      <c r="S84" s="20"/>
      <c r="T84" s="20"/>
      <c r="U84" s="20"/>
      <c r="V84" s="20"/>
      <c r="W84" s="20"/>
      <c r="X84" s="20"/>
      <c r="Y84" s="20"/>
      <c r="Z84" s="20"/>
    </row>
    <row r="85" spans="1:26" ht="28.5" customHeight="1">
      <c r="A85" s="4">
        <v>81</v>
      </c>
      <c r="B85" s="7" t="s">
        <v>220</v>
      </c>
      <c r="C85" s="4">
        <f>COUNTIF(DATA_SURAT_PELANTIKAN!$G$2:$G$55,B85)</f>
        <v>0</v>
      </c>
      <c r="D85" s="4">
        <f>COUNTIF(DATA_SURAT_PELANTIKAN!$H$2:$H$55,B85)</f>
        <v>0</v>
      </c>
      <c r="E85" s="4">
        <f>COUNTIF(DATA_SURAT_PELANTIKAN!$I$2:$I$55,B85)</f>
        <v>0</v>
      </c>
      <c r="F85" s="4">
        <f>COUNTIF(DATA_SURAT_PELANTIKAN!$J$2:$J$55,B85)</f>
        <v>0</v>
      </c>
      <c r="G85" s="6">
        <f t="shared" si="0"/>
        <v>0</v>
      </c>
      <c r="H85" s="4">
        <f>COUNTIF(DATA_SURAT_PELANTIKAN!$G$56:$G$132,B85)</f>
        <v>0</v>
      </c>
      <c r="I85" s="4">
        <f>COUNTIF(DATA_SURAT_PELANTIKAN!$H$56:$H$132,B85)</f>
        <v>2</v>
      </c>
      <c r="J85" s="4">
        <f>COUNTIF(DATA_SURAT_PELANTIKAN!$I$56:$I$132,B85)</f>
        <v>0</v>
      </c>
      <c r="K85" s="4">
        <f>COUNTIF(DATA_SURAT_PELANTIKAN!$J$56:$J$132,B85)</f>
        <v>0</v>
      </c>
      <c r="L85" s="6">
        <f t="shared" si="1"/>
        <v>2</v>
      </c>
      <c r="M85" s="20"/>
      <c r="N85" s="20"/>
      <c r="O85" s="20"/>
      <c r="P85" s="20"/>
      <c r="Q85" s="20"/>
      <c r="R85" s="20"/>
      <c r="S85" s="20"/>
      <c r="T85" s="20"/>
      <c r="U85" s="20"/>
      <c r="V85" s="20"/>
      <c r="W85" s="20"/>
      <c r="X85" s="20"/>
      <c r="Y85" s="20"/>
      <c r="Z85" s="20"/>
    </row>
    <row r="86" spans="1:26" ht="28.5" customHeight="1">
      <c r="A86" s="4">
        <v>82</v>
      </c>
      <c r="B86" s="7" t="s">
        <v>225</v>
      </c>
      <c r="C86" s="4">
        <f>COUNTIF(DATA_SURAT_PELANTIKAN!$G$2:$G$55,B86)</f>
        <v>0</v>
      </c>
      <c r="D86" s="4">
        <f>COUNTIF(DATA_SURAT_PELANTIKAN!$H$2:$H$55,B86)</f>
        <v>0</v>
      </c>
      <c r="E86" s="4">
        <f>COUNTIF(DATA_SURAT_PELANTIKAN!$I$2:$I$55,B86)</f>
        <v>0</v>
      </c>
      <c r="F86" s="4">
        <f>COUNTIF(DATA_SURAT_PELANTIKAN!$J$2:$J$55,B86)</f>
        <v>0</v>
      </c>
      <c r="G86" s="6">
        <f t="shared" si="0"/>
        <v>0</v>
      </c>
      <c r="H86" s="4">
        <f>COUNTIF(DATA_SURAT_PELANTIKAN!$G$56:$G$132,B86)</f>
        <v>1</v>
      </c>
      <c r="I86" s="4">
        <f>COUNTIF(DATA_SURAT_PELANTIKAN!$H$56:$H$132,'KEKERAPAN '!B86)</f>
        <v>1</v>
      </c>
      <c r="J86" s="4">
        <f>COUNTIF(DATA_SURAT_PELANTIKAN!$I$56:$I$132,B86)</f>
        <v>0</v>
      </c>
      <c r="K86" s="4">
        <f>COUNTIF(DATA_SURAT_PELANTIKAN!$J$56:$J$132,B86)</f>
        <v>0</v>
      </c>
      <c r="L86" s="6">
        <f t="shared" si="1"/>
        <v>2</v>
      </c>
      <c r="M86" s="20"/>
      <c r="N86" s="20"/>
      <c r="O86" s="20"/>
      <c r="P86" s="20"/>
      <c r="Q86" s="20"/>
      <c r="R86" s="20"/>
      <c r="S86" s="20"/>
      <c r="T86" s="20"/>
      <c r="U86" s="20"/>
      <c r="V86" s="20"/>
      <c r="W86" s="20"/>
      <c r="X86" s="20"/>
      <c r="Y86" s="20"/>
      <c r="Z86" s="20"/>
    </row>
    <row r="87" spans="1:26" ht="28.5" customHeight="1">
      <c r="A87" s="4">
        <v>83</v>
      </c>
      <c r="B87" s="7" t="s">
        <v>270</v>
      </c>
      <c r="C87" s="4">
        <f>COUNTIF(DATA_SURAT_PELANTIKAN!$G$2:$G$55,B87)</f>
        <v>0</v>
      </c>
      <c r="D87" s="4">
        <f>COUNTIF(DATA_SURAT_PELANTIKAN!$H$2:$H$55,B87)</f>
        <v>0</v>
      </c>
      <c r="E87" s="4">
        <f>COUNTIF(DATA_SURAT_PELANTIKAN!$I$2:$I$55,B87)</f>
        <v>0</v>
      </c>
      <c r="F87" s="4">
        <f>COUNTIF(DATA_SURAT_PELANTIKAN!$J$2:$J$55,B87)</f>
        <v>0</v>
      </c>
      <c r="G87" s="6">
        <f t="shared" si="0"/>
        <v>0</v>
      </c>
      <c r="H87" s="4">
        <f>COUNTIF(DATA_SURAT_PELANTIKAN!$G$56:$G$132,B87)</f>
        <v>0</v>
      </c>
      <c r="I87" s="4">
        <f>COUNTIF(DATA_SURAT_PELANTIKAN!$H$56:$H$132,B87)</f>
        <v>1</v>
      </c>
      <c r="J87" s="4">
        <f>COUNTIF(DATA_SURAT_PELANTIKAN!$I$56:$I$132,B87)</f>
        <v>0</v>
      </c>
      <c r="K87" s="4">
        <f>COUNTIF(DATA_SURAT_PELANTIKAN!$J$56:$J$132,B87)</f>
        <v>0</v>
      </c>
      <c r="L87" s="6">
        <f t="shared" si="1"/>
        <v>1</v>
      </c>
      <c r="M87" s="20"/>
      <c r="N87" s="20"/>
      <c r="O87" s="20"/>
      <c r="P87" s="20"/>
      <c r="Q87" s="20"/>
      <c r="R87" s="20"/>
      <c r="S87" s="20"/>
      <c r="T87" s="20"/>
      <c r="U87" s="20"/>
      <c r="V87" s="20"/>
      <c r="W87" s="20"/>
      <c r="X87" s="20"/>
      <c r="Y87" s="20"/>
      <c r="Z87" s="20"/>
    </row>
    <row r="88" spans="1:26" ht="28.5" customHeight="1">
      <c r="A88" s="4">
        <v>84</v>
      </c>
      <c r="B88" s="9" t="s">
        <v>226</v>
      </c>
      <c r="C88" s="4">
        <f>COUNTIF(DATA_SURAT_PELANTIKAN!$G$2:$G$55,B88)</f>
        <v>0</v>
      </c>
      <c r="D88" s="4">
        <f>COUNTIF(DATA_SURAT_PELANTIKAN!$H$2:$H$55,B88)</f>
        <v>0</v>
      </c>
      <c r="E88" s="4">
        <f>COUNTIF(DATA_SURAT_PELANTIKAN!$I$2:$I$55,B88)</f>
        <v>0</v>
      </c>
      <c r="F88" s="4">
        <f>COUNTIF(DATA_SURAT_PELANTIKAN!$J$2:$J$55,B88)</f>
        <v>0</v>
      </c>
      <c r="G88" s="6">
        <f t="shared" si="0"/>
        <v>0</v>
      </c>
      <c r="H88" s="4">
        <f>COUNTIF(DATA_SURAT_PELANTIKAN!$G$56:$G$132,B88)</f>
        <v>1</v>
      </c>
      <c r="I88" s="4">
        <f>COUNTIF(DATA_SURAT_PELANTIKAN!$H$56:$H$132,B88)</f>
        <v>1</v>
      </c>
      <c r="J88" s="4">
        <f>COUNTIF(DATA_SURAT_PELANTIKAN!$I$56:$I$132,B88)</f>
        <v>0</v>
      </c>
      <c r="K88" s="4">
        <f>COUNTIF(DATA_SURAT_PELANTIKAN!$J$56:$J$132,B88)</f>
        <v>2</v>
      </c>
      <c r="L88" s="6">
        <f t="shared" si="1"/>
        <v>4</v>
      </c>
      <c r="M88" s="20"/>
      <c r="N88" s="20"/>
      <c r="O88" s="20"/>
      <c r="P88" s="20"/>
      <c r="Q88" s="20"/>
      <c r="R88" s="20"/>
      <c r="S88" s="20"/>
      <c r="T88" s="20"/>
      <c r="U88" s="20"/>
      <c r="V88" s="20"/>
      <c r="W88" s="20"/>
      <c r="X88" s="20"/>
      <c r="Y88" s="20"/>
      <c r="Z88" s="20"/>
    </row>
    <row r="89" spans="1:26" ht="28.5" customHeight="1">
      <c r="A89" s="4">
        <v>85</v>
      </c>
      <c r="B89" s="5" t="s">
        <v>251</v>
      </c>
      <c r="C89" s="4">
        <f>COUNTIF(DATA_SURAT_PELANTIKAN!$G$2:$G$55,B89)</f>
        <v>0</v>
      </c>
      <c r="D89" s="4">
        <f>COUNTIF(DATA_SURAT_PELANTIKAN!$H$2:$H$55,B89)</f>
        <v>0</v>
      </c>
      <c r="E89" s="4">
        <f>COUNTIF(DATA_SURAT_PELANTIKAN!$I$2:$I$55,B89)</f>
        <v>0</v>
      </c>
      <c r="F89" s="4">
        <f>COUNTIF(DATA_SURAT_PELANTIKAN!$J$2:$J$55,B89)</f>
        <v>0</v>
      </c>
      <c r="G89" s="6">
        <f t="shared" si="0"/>
        <v>0</v>
      </c>
      <c r="H89" s="4">
        <f>COUNTIF(DATA_SURAT_PELANTIKAN!$G$56:$G$132,B89)</f>
        <v>1</v>
      </c>
      <c r="I89" s="4">
        <f>COUNTIF(DATA_SURAT_PELANTIKAN!$H$56:$H$132,B89)</f>
        <v>0</v>
      </c>
      <c r="J89" s="4">
        <f>COUNTIF(DATA_SURAT_PELANTIKAN!$I$56:$I$132,B89)</f>
        <v>0</v>
      </c>
      <c r="K89" s="4">
        <f>COUNTIF(DATA_SURAT_PELANTIKAN!$J$56:$J$132,B89)</f>
        <v>1</v>
      </c>
      <c r="L89" s="6">
        <f t="shared" si="1"/>
        <v>2</v>
      </c>
      <c r="M89" s="20"/>
      <c r="N89" s="20"/>
      <c r="O89" s="20"/>
      <c r="P89" s="20"/>
      <c r="Q89" s="20"/>
      <c r="R89" s="20"/>
      <c r="S89" s="20"/>
      <c r="T89" s="20"/>
      <c r="U89" s="20"/>
      <c r="V89" s="20"/>
      <c r="W89" s="20"/>
      <c r="X89" s="20"/>
      <c r="Y89" s="20"/>
      <c r="Z89" s="20"/>
    </row>
    <row r="90" spans="1:26" ht="28.5" customHeight="1">
      <c r="A90" s="13">
        <v>86</v>
      </c>
      <c r="B90" s="9" t="s">
        <v>303</v>
      </c>
      <c r="C90" s="13">
        <f>COUNTIF(DATA_SURAT_PELANTIKAN!$G$2:$G$55,B90)</f>
        <v>0</v>
      </c>
      <c r="D90" s="13">
        <f>COUNTIF(DATA_SURAT_PELANTIKAN!$H$2:$H$55,B90)</f>
        <v>0</v>
      </c>
      <c r="E90" s="13">
        <f>COUNTIF(DATA_SURAT_PELANTIKAN!$I$2:$I$55,B90)</f>
        <v>0</v>
      </c>
      <c r="F90" s="13">
        <f>COUNTIF(DATA_SURAT_PELANTIKAN!$J$2:$J$55,B90)</f>
        <v>0</v>
      </c>
      <c r="G90" s="14">
        <f t="shared" si="0"/>
        <v>0</v>
      </c>
      <c r="H90" s="13">
        <f>COUNTIF(DATA_SURAT_PELANTIKAN!$G$56:$G$132,B90)</f>
        <v>0</v>
      </c>
      <c r="I90" s="13">
        <f>COUNTIF(DATA_SURAT_PELANTIKAN!$H$56:$H$132,B90)</f>
        <v>1</v>
      </c>
      <c r="J90" s="13">
        <f>COUNTIF(DATA_SURAT_PELANTIKAN!$I$56:$I$132,B90)</f>
        <v>0</v>
      </c>
      <c r="K90" s="13">
        <f>COUNTIF(DATA_SURAT_PELANTIKAN!$J$56:$J$132,B90)</f>
        <v>0</v>
      </c>
      <c r="L90" s="14">
        <f t="shared" si="1"/>
        <v>1</v>
      </c>
      <c r="M90" s="20"/>
      <c r="N90" s="20"/>
      <c r="O90" s="20"/>
      <c r="P90" s="20"/>
      <c r="Q90" s="20"/>
      <c r="R90" s="20"/>
      <c r="S90" s="20"/>
      <c r="T90" s="20"/>
      <c r="U90" s="20"/>
      <c r="V90" s="20"/>
      <c r="W90" s="20"/>
      <c r="X90" s="20"/>
      <c r="Y90" s="20"/>
      <c r="Z90" s="20"/>
    </row>
    <row r="91" spans="1:26" ht="28.5" customHeight="1">
      <c r="A91" s="4">
        <v>87</v>
      </c>
      <c r="B91" s="15" t="s">
        <v>308</v>
      </c>
      <c r="C91" s="4">
        <f>COUNTIF(DATA_SURAT_PELANTIKAN!$G$2:$G$55,B91)</f>
        <v>0</v>
      </c>
      <c r="D91" s="4">
        <f>COUNTIF(DATA_SURAT_PELANTIKAN!$H$2:$H$55,B91)</f>
        <v>0</v>
      </c>
      <c r="E91" s="4">
        <f>COUNTIF(DATA_SURAT_PELANTIKAN!$I$2:$I$55,B91)</f>
        <v>0</v>
      </c>
      <c r="F91" s="4">
        <f>COUNTIF(DATA_SURAT_PELANTIKAN!$J$2:$J$55,B91)</f>
        <v>0</v>
      </c>
      <c r="G91" s="6">
        <f t="shared" si="0"/>
        <v>0</v>
      </c>
      <c r="H91" s="4">
        <f>COUNTIF(DATA_SURAT_PELANTIKAN!$G$56:$G$132,B91)</f>
        <v>0</v>
      </c>
      <c r="I91" s="4">
        <f>COUNTIF(DATA_SURAT_PELANTIKAN!$H$56:$H$132,B91)</f>
        <v>2</v>
      </c>
      <c r="J91" s="4">
        <f>COUNTIF(DATA_SURAT_PELANTIKAN!$I$56:$I$132,B91)</f>
        <v>0</v>
      </c>
      <c r="K91" s="4">
        <f>COUNTIF(DATA_SURAT_PELANTIKAN!$J$56:$J$132,B91)</f>
        <v>0</v>
      </c>
      <c r="L91" s="6">
        <f t="shared" si="1"/>
        <v>2</v>
      </c>
      <c r="M91" s="20"/>
      <c r="N91" s="20"/>
      <c r="O91" s="20"/>
      <c r="P91" s="20"/>
      <c r="Q91" s="20"/>
      <c r="R91" s="20"/>
      <c r="S91" s="20"/>
      <c r="T91" s="20"/>
      <c r="U91" s="20"/>
      <c r="V91" s="20"/>
      <c r="W91" s="20"/>
      <c r="X91" s="20"/>
      <c r="Y91" s="20"/>
      <c r="Z91" s="20"/>
    </row>
    <row r="92" spans="1:26" ht="28.5" customHeight="1">
      <c r="A92" s="31">
        <v>88</v>
      </c>
      <c r="B92" s="32" t="s">
        <v>340</v>
      </c>
      <c r="C92" s="33">
        <f>COUNTIF(DATA_SURAT_PELANTIKAN!$G$2:$G$55,B92)</f>
        <v>0</v>
      </c>
      <c r="D92" s="13">
        <f>COUNTIF(DATA_SURAT_PELANTIKAN!$H$2:$H$55,B92)</f>
        <v>0</v>
      </c>
      <c r="E92" s="13">
        <f>COUNTIF(DATA_SURAT_PELANTIKAN!$I$2:$I$55,B92)</f>
        <v>0</v>
      </c>
      <c r="F92" s="4">
        <f>COUNTIF(DATA_SURAT_PELANTIKAN!$J$2:$J$55,B92)</f>
        <v>0</v>
      </c>
      <c r="G92" s="6">
        <f t="shared" si="0"/>
        <v>0</v>
      </c>
      <c r="H92" s="4">
        <f>COUNTIF(DATA_SURAT_PELANTIKAN!$G$56:$G$132,B92)</f>
        <v>0</v>
      </c>
      <c r="I92" s="4">
        <f>COUNTIF(DATA_SURAT_PELANTIKAN!$H$56:$H$132,B92)</f>
        <v>0</v>
      </c>
      <c r="J92" s="4">
        <f>COUNTIF(DATA_SURAT_PELANTIKAN!$I$56:$I$132,B92)</f>
        <v>0</v>
      </c>
      <c r="K92" s="4">
        <f>COUNTIF(DATA_SURAT_PELANTIKAN!$J$56:$J$132,B92)</f>
        <v>1</v>
      </c>
      <c r="L92" s="6">
        <f t="shared" si="1"/>
        <v>1</v>
      </c>
      <c r="M92" s="20"/>
      <c r="N92" s="20"/>
      <c r="O92" s="20"/>
      <c r="P92" s="20"/>
      <c r="Q92" s="20"/>
      <c r="R92" s="20"/>
      <c r="S92" s="20"/>
      <c r="T92" s="20"/>
      <c r="U92" s="20"/>
      <c r="V92" s="20"/>
      <c r="W92" s="20"/>
      <c r="X92" s="20"/>
      <c r="Y92" s="20"/>
      <c r="Z92" s="20"/>
    </row>
    <row r="93" spans="1:26" s="29" customFormat="1" ht="28.5" customHeight="1">
      <c r="A93" s="34">
        <v>89</v>
      </c>
      <c r="B93" s="51" t="s">
        <v>366</v>
      </c>
      <c r="C93" s="34">
        <f>COUNTIF(DATA_SURAT_PELANTIKAN!$G$2:$G$55,B93)</f>
        <v>0</v>
      </c>
      <c r="D93" s="34">
        <f>COUNTIF(DATA_SURAT_PELANTIKAN!$H$2:$H$55,B93)</f>
        <v>0</v>
      </c>
      <c r="E93" s="34">
        <f>COUNTIF(DATA_SURAT_PELANTIKAN!$I$2:$I$55,B93)</f>
        <v>0</v>
      </c>
      <c r="F93" s="17">
        <f>COUNTIF(DATA_SURAT_PELANTIKAN!$J$2:$J$55,B93)</f>
        <v>0</v>
      </c>
      <c r="G93" s="6">
        <f t="shared" si="0"/>
        <v>0</v>
      </c>
      <c r="H93" s="4">
        <f>COUNTIF(DATA_SURAT_PELANTIKAN!$G$56:$G$132,B93)</f>
        <v>0</v>
      </c>
      <c r="I93" s="4">
        <f>COUNTIF(DATA_SURAT_PELANTIKAN!$H$56:$H$132,B93)</f>
        <v>1</v>
      </c>
      <c r="J93" s="4">
        <f>COUNTIF(DATA_SURAT_PELANTIKAN!$I$56:$I$132,B93)</f>
        <v>0</v>
      </c>
      <c r="K93" s="4">
        <f>COUNTIF(DATA_SURAT_PELANTIKAN!$J$56:$J$132,B93)</f>
        <v>0</v>
      </c>
      <c r="L93" s="6">
        <f t="shared" si="1"/>
        <v>1</v>
      </c>
      <c r="M93" s="20"/>
      <c r="N93" s="20"/>
      <c r="O93" s="20"/>
      <c r="P93" s="20"/>
      <c r="Q93" s="20"/>
      <c r="R93" s="20"/>
      <c r="S93" s="20"/>
      <c r="T93" s="20"/>
      <c r="U93" s="20"/>
      <c r="V93" s="20"/>
      <c r="W93" s="20"/>
      <c r="X93" s="20"/>
      <c r="Y93" s="20"/>
      <c r="Z93" s="20"/>
    </row>
    <row r="94" spans="1:26" s="29" customFormat="1" ht="28.5" customHeight="1">
      <c r="A94" s="54">
        <v>90</v>
      </c>
      <c r="B94" s="55" t="s">
        <v>363</v>
      </c>
      <c r="C94" s="54">
        <f>COUNTIF(DATA_SURAT_PELANTIKAN!$G$2:$G$55,B94)</f>
        <v>0</v>
      </c>
      <c r="D94" s="54">
        <f>COUNTIF(DATA_SURAT_PELANTIKAN!$H$2:$H$55,B94)</f>
        <v>0</v>
      </c>
      <c r="E94" s="54">
        <f>COUNTIF(DATA_SURAT_PELANTIKAN!$I$2:$I$55,B94)</f>
        <v>0</v>
      </c>
      <c r="F94" s="33">
        <f>COUNTIF(DATA_SURAT_PELANTIKAN!$J$2:$J$55,B94)</f>
        <v>0</v>
      </c>
      <c r="G94" s="14">
        <f t="shared" ref="G94:G100" si="2">SUM(C94:F94)</f>
        <v>0</v>
      </c>
      <c r="H94" s="13">
        <f>COUNTIF(DATA_SURAT_PELANTIKAN!$G$56:$G$132,B94)</f>
        <v>0</v>
      </c>
      <c r="I94" s="13">
        <f>COUNTIF(DATA_SURAT_PELANTIKAN!$H$56:$H$132,B94)</f>
        <v>1</v>
      </c>
      <c r="J94" s="13">
        <f>COUNTIF(DATA_SURAT_PELANTIKAN!$I$56:$I$132,B94)</f>
        <v>0</v>
      </c>
      <c r="K94" s="13">
        <f>COUNTIF(DATA_SURAT_PELANTIKAN!$J$56:$J$132,B94)</f>
        <v>0</v>
      </c>
      <c r="L94" s="14">
        <f t="shared" ref="L94" si="3">SUM(H94:K94)</f>
        <v>1</v>
      </c>
      <c r="M94" s="20"/>
      <c r="N94" s="20"/>
      <c r="O94" s="20"/>
      <c r="P94" s="20"/>
      <c r="Q94" s="20"/>
      <c r="R94" s="20"/>
      <c r="S94" s="20"/>
      <c r="T94" s="20"/>
      <c r="U94" s="20"/>
      <c r="V94" s="20"/>
      <c r="W94" s="20"/>
      <c r="X94" s="20"/>
      <c r="Y94" s="20"/>
      <c r="Z94" s="20"/>
    </row>
    <row r="95" spans="1:26" s="29" customFormat="1" ht="28.5" customHeight="1">
      <c r="A95" s="63">
        <v>91</v>
      </c>
      <c r="B95" s="64" t="s">
        <v>343</v>
      </c>
      <c r="C95" s="65">
        <f>COUNTIF(DATA_SURAT_PELANTIKAN!$G$2:$G$55,B95)</f>
        <v>0</v>
      </c>
      <c r="D95" s="65">
        <f>COUNTIF(DATA_SURAT_PELANTIKAN!$H$2:$H$55,B95)</f>
        <v>0</v>
      </c>
      <c r="E95" s="65">
        <f>COUNTIF(DATA_SURAT_PELANTIKAN!$I$2:$I$55,B95)</f>
        <v>0</v>
      </c>
      <c r="F95" s="66">
        <f>COUNTIF(DATA_SURAT_PELANTIKAN!$J$2:$J$55,B95)</f>
        <v>0</v>
      </c>
      <c r="G95" s="67">
        <f t="shared" si="2"/>
        <v>0</v>
      </c>
      <c r="H95" s="68">
        <f>COUNTIF(DATA_SURAT_PELANTIKAN!$G$56:$G$132,B95)</f>
        <v>0</v>
      </c>
      <c r="I95" s="68">
        <f>COUNTIF(DATA_SURAT_PELANTIKAN!$H$56:$H$132,B95)</f>
        <v>0</v>
      </c>
      <c r="J95" s="68">
        <f>COUNTIF(DATA_SURAT_PELANTIKAN!$I$56:$I$132,B95)</f>
        <v>0</v>
      </c>
      <c r="K95" s="68">
        <f>COUNTIF(DATA_SURAT_PELANTIKAN!$J$56:$J$132,B95)</f>
        <v>0</v>
      </c>
      <c r="L95" s="69"/>
      <c r="M95" s="20"/>
      <c r="N95" s="20"/>
      <c r="O95" s="20"/>
      <c r="P95" s="20"/>
      <c r="Q95" s="20"/>
      <c r="R95" s="20"/>
      <c r="S95" s="20"/>
      <c r="T95" s="20"/>
      <c r="U95" s="20"/>
      <c r="V95" s="20"/>
      <c r="W95" s="20"/>
      <c r="X95" s="20"/>
      <c r="Y95" s="20"/>
      <c r="Z95" s="20"/>
    </row>
    <row r="96" spans="1:26" s="29" customFormat="1" ht="28.5" customHeight="1">
      <c r="A96" s="65">
        <v>92</v>
      </c>
      <c r="B96" s="36" t="s">
        <v>229</v>
      </c>
      <c r="C96" s="65">
        <f>COUNTIF(DATA_SURAT_PELANTIKAN!$G$2:$G$55,B96)</f>
        <v>0</v>
      </c>
      <c r="D96" s="65">
        <f>COUNTIF(DATA_SURAT_PELANTIKAN!$H$2:$H$55,B96)</f>
        <v>0</v>
      </c>
      <c r="E96" s="65">
        <f>COUNTIF(DATA_SURAT_PELANTIKAN!$I$2:$I$55,B96)</f>
        <v>0</v>
      </c>
      <c r="F96" s="66">
        <f>COUNTIF(DATA_SURAT_PELANTIKAN!$J$2:$J$55,B96)</f>
        <v>0</v>
      </c>
      <c r="G96" s="67">
        <f t="shared" si="2"/>
        <v>0</v>
      </c>
      <c r="H96" s="68">
        <f>COUNTIF(DATA_SURAT_PELANTIKAN!$G$56:$G$132,B96)</f>
        <v>0</v>
      </c>
      <c r="I96" s="68">
        <f>COUNTIF(DATA_SURAT_PELANTIKAN!$H$56:$H$132,B96)</f>
        <v>0</v>
      </c>
      <c r="J96" s="68">
        <f>COUNTIF(DATA_SURAT_PELANTIKAN!$I$56:$I$132,B96)</f>
        <v>0</v>
      </c>
      <c r="K96" s="68">
        <f>COUNTIF(DATA_SURAT_PELANTIKAN!$J$56:$J$132,B96)</f>
        <v>0</v>
      </c>
      <c r="L96" s="70"/>
      <c r="M96" s="20"/>
      <c r="N96" s="20"/>
      <c r="O96" s="20"/>
      <c r="P96" s="20"/>
      <c r="Q96" s="20"/>
      <c r="R96" s="20"/>
      <c r="S96" s="20"/>
      <c r="T96" s="20"/>
      <c r="U96" s="20"/>
      <c r="V96" s="20"/>
      <c r="W96" s="20"/>
      <c r="X96" s="20"/>
      <c r="Y96" s="20"/>
      <c r="Z96" s="20"/>
    </row>
    <row r="97" spans="1:26" s="29" customFormat="1" ht="28.5" customHeight="1">
      <c r="A97" s="63">
        <v>93</v>
      </c>
      <c r="B97" s="64" t="s">
        <v>346</v>
      </c>
      <c r="C97" s="65">
        <f>COUNTIF(DATA_SURAT_PELANTIKAN!$G$2:$G$55,B97)</f>
        <v>0</v>
      </c>
      <c r="D97" s="65">
        <f>COUNTIF(DATA_SURAT_PELANTIKAN!$H$2:$H$55,B97)</f>
        <v>0</v>
      </c>
      <c r="E97" s="65">
        <f>COUNTIF(DATA_SURAT_PELANTIKAN!$I$2:$I$55,B97)</f>
        <v>0</v>
      </c>
      <c r="F97" s="66">
        <f>COUNTIF(DATA_SURAT_PELANTIKAN!$J$2:$J$55,B97)</f>
        <v>0</v>
      </c>
      <c r="G97" s="67">
        <f t="shared" si="2"/>
        <v>0</v>
      </c>
      <c r="H97" s="68">
        <f>COUNTIF(DATA_SURAT_PELANTIKAN!$G$56:$G$132,B97)</f>
        <v>0</v>
      </c>
      <c r="I97" s="68">
        <f>COUNTIF(DATA_SURAT_PELANTIKAN!$H$56:$H$132,B97)</f>
        <v>0</v>
      </c>
      <c r="J97" s="68">
        <f>COUNTIF(DATA_SURAT_PELANTIKAN!$I$56:$I$132,B97)</f>
        <v>0</v>
      </c>
      <c r="K97" s="68">
        <f>COUNTIF(DATA_SURAT_PELANTIKAN!$J$56:$J$132,B97)</f>
        <v>0</v>
      </c>
      <c r="L97" s="69"/>
      <c r="M97" s="20"/>
      <c r="N97" s="20"/>
      <c r="O97" s="20"/>
      <c r="P97" s="20"/>
      <c r="Q97" s="20"/>
      <c r="R97" s="20"/>
      <c r="S97" s="20"/>
      <c r="T97" s="20"/>
      <c r="U97" s="20"/>
      <c r="V97" s="20"/>
      <c r="W97" s="20"/>
      <c r="X97" s="20"/>
      <c r="Y97" s="20"/>
      <c r="Z97" s="20"/>
    </row>
    <row r="98" spans="1:26" s="29" customFormat="1" ht="28.5" customHeight="1">
      <c r="A98" s="65">
        <v>94</v>
      </c>
      <c r="B98" s="64" t="s">
        <v>292</v>
      </c>
      <c r="C98" s="65">
        <f>COUNTIF(DATA_SURAT_PELANTIKAN!$G$2:$G$55,B98)</f>
        <v>0</v>
      </c>
      <c r="D98" s="65">
        <f>COUNTIF(DATA_SURAT_PELANTIKAN!$H$2:$H$55,B98)</f>
        <v>0</v>
      </c>
      <c r="E98" s="65">
        <f>COUNTIF(DATA_SURAT_PELANTIKAN!$I$2:$I$55,B98)</f>
        <v>0</v>
      </c>
      <c r="F98" s="66">
        <f>COUNTIF(DATA_SURAT_PELANTIKAN!$J$2:$J$55,B98)</f>
        <v>0</v>
      </c>
      <c r="G98" s="67">
        <f t="shared" si="2"/>
        <v>0</v>
      </c>
      <c r="H98" s="68">
        <f>COUNTIF(DATA_SURAT_PELANTIKAN!$G$56:$G$132,B98)</f>
        <v>0</v>
      </c>
      <c r="I98" s="68">
        <f>COUNTIF(DATA_SURAT_PELANTIKAN!$H$56:$H$132,B98)</f>
        <v>0</v>
      </c>
      <c r="J98" s="68">
        <f>COUNTIF(DATA_SURAT_PELANTIKAN!$I$56:$I$132,B98)</f>
        <v>0</v>
      </c>
      <c r="K98" s="68">
        <f>COUNTIF(DATA_SURAT_PELANTIKAN!$J$56:$J$132,B98)</f>
        <v>0</v>
      </c>
      <c r="L98" s="69"/>
      <c r="M98" s="20"/>
      <c r="N98" s="20"/>
      <c r="O98" s="20"/>
      <c r="P98" s="20"/>
      <c r="Q98" s="20"/>
      <c r="R98" s="20"/>
      <c r="S98" s="20"/>
      <c r="T98" s="20"/>
      <c r="U98" s="20"/>
      <c r="V98" s="20"/>
      <c r="W98" s="20"/>
      <c r="X98" s="20"/>
      <c r="Y98" s="20"/>
      <c r="Z98" s="20"/>
    </row>
    <row r="99" spans="1:26" s="29" customFormat="1" ht="28.5" customHeight="1">
      <c r="A99" s="63">
        <v>95</v>
      </c>
      <c r="B99" s="64" t="s">
        <v>252</v>
      </c>
      <c r="C99" s="65">
        <f>COUNTIF(DATA_SURAT_PELANTIKAN!$G$2:$G$55,B99)</f>
        <v>0</v>
      </c>
      <c r="D99" s="65">
        <f>COUNTIF(DATA_SURAT_PELANTIKAN!$H$2:$H$55,B99)</f>
        <v>0</v>
      </c>
      <c r="E99" s="65">
        <f>COUNTIF(DATA_SURAT_PELANTIKAN!$I$2:$I$55,B99)</f>
        <v>0</v>
      </c>
      <c r="F99" s="66">
        <f>COUNTIF(DATA_SURAT_PELANTIKAN!$J$2:$J$55,B99)</f>
        <v>0</v>
      </c>
      <c r="G99" s="67">
        <f t="shared" si="2"/>
        <v>0</v>
      </c>
      <c r="H99" s="68">
        <f>COUNTIF(DATA_SURAT_PELANTIKAN!$G$56:$G$132,B99)</f>
        <v>0</v>
      </c>
      <c r="I99" s="68">
        <f>COUNTIF(DATA_SURAT_PELANTIKAN!$H$56:$H$132,B99)</f>
        <v>0</v>
      </c>
      <c r="J99" s="68">
        <f>COUNTIF(DATA_SURAT_PELANTIKAN!$I$56:$I$132,B99)</f>
        <v>0</v>
      </c>
      <c r="K99" s="68">
        <f>COUNTIF(DATA_SURAT_PELANTIKAN!$J$56:$J$132,B99)</f>
        <v>0</v>
      </c>
      <c r="L99" s="69"/>
      <c r="M99" s="20"/>
      <c r="N99" s="20"/>
      <c r="O99" s="20"/>
      <c r="P99" s="20"/>
      <c r="Q99" s="20"/>
      <c r="R99" s="20"/>
      <c r="S99" s="20"/>
      <c r="T99" s="20"/>
      <c r="U99" s="20"/>
      <c r="V99" s="20"/>
      <c r="W99" s="20"/>
      <c r="X99" s="20"/>
      <c r="Y99" s="20"/>
      <c r="Z99" s="20"/>
    </row>
    <row r="100" spans="1:26" s="29" customFormat="1" ht="28.5" customHeight="1">
      <c r="A100" s="65">
        <v>96</v>
      </c>
      <c r="B100" s="36" t="s">
        <v>272</v>
      </c>
      <c r="C100" s="65">
        <f>COUNTIF(DATA_SURAT_PELANTIKAN!$G$2:$G$55,B100)</f>
        <v>0</v>
      </c>
      <c r="D100" s="65">
        <f>COUNTIF(DATA_SURAT_PELANTIKAN!$H$2:$H$55,B100)</f>
        <v>0</v>
      </c>
      <c r="E100" s="65">
        <f>COUNTIF(DATA_SURAT_PELANTIKAN!$I$2:$I$55,B100)</f>
        <v>0</v>
      </c>
      <c r="F100" s="66">
        <f>COUNTIF(DATA_SURAT_PELANTIKAN!$J$2:$J$55,B100)</f>
        <v>0</v>
      </c>
      <c r="G100" s="67">
        <f t="shared" si="2"/>
        <v>0</v>
      </c>
      <c r="H100" s="68">
        <f>COUNTIF(DATA_SURAT_PELANTIKAN!$G$56:$G$132,B100)</f>
        <v>0</v>
      </c>
      <c r="I100" s="68">
        <f>COUNTIF(DATA_SURAT_PELANTIKAN!$H$56:$H$132,B100)</f>
        <v>0</v>
      </c>
      <c r="J100" s="68">
        <f>COUNTIF(DATA_SURAT_PELANTIKAN!$I$56:$I$132,B100)</f>
        <v>0</v>
      </c>
      <c r="K100" s="68">
        <f>COUNTIF(DATA_SURAT_PELANTIKAN!$J$56:$J$132,B100)</f>
        <v>0</v>
      </c>
      <c r="L100" s="69"/>
      <c r="M100" s="20"/>
      <c r="N100" s="20"/>
      <c r="O100" s="20"/>
      <c r="P100" s="20"/>
      <c r="Q100" s="20"/>
      <c r="R100" s="20"/>
      <c r="S100" s="20"/>
      <c r="T100" s="20"/>
      <c r="U100" s="20"/>
      <c r="V100" s="20"/>
      <c r="W100" s="20"/>
      <c r="X100" s="20"/>
      <c r="Y100" s="20"/>
      <c r="Z100" s="20"/>
    </row>
    <row r="101" spans="1:26" ht="15.75" customHeight="1">
      <c r="A101" s="34"/>
      <c r="B101" s="16"/>
      <c r="C101" s="57"/>
      <c r="D101" s="57"/>
      <c r="E101" s="57"/>
      <c r="F101" s="57"/>
      <c r="G101" s="56">
        <f>SUM(G5:G91)</f>
        <v>210</v>
      </c>
      <c r="H101" s="58"/>
      <c r="I101" s="59"/>
      <c r="J101" s="58"/>
      <c r="K101" s="58"/>
      <c r="L101" s="56"/>
    </row>
    <row r="102" spans="1:26" ht="15.75" customHeight="1">
      <c r="A102" s="34"/>
      <c r="B102" s="61"/>
      <c r="C102" s="57"/>
      <c r="D102" s="57"/>
      <c r="E102" s="57"/>
      <c r="F102" s="57"/>
      <c r="G102" s="60"/>
      <c r="H102" s="60"/>
      <c r="I102" s="60"/>
      <c r="J102" s="60"/>
      <c r="K102" s="60"/>
      <c r="L102" s="62"/>
    </row>
    <row r="103" spans="1:26" ht="15.75" customHeight="1">
      <c r="A103" s="18"/>
      <c r="B103" s="12"/>
      <c r="C103" s="19"/>
      <c r="D103" s="19"/>
      <c r="E103" s="19"/>
      <c r="F103" s="19"/>
      <c r="L103" s="11"/>
    </row>
    <row r="104" spans="1:26" ht="15.75" customHeight="1">
      <c r="A104" s="18"/>
      <c r="B104" s="9"/>
      <c r="C104" s="19"/>
      <c r="D104" s="19"/>
      <c r="E104" s="19"/>
      <c r="F104" s="19"/>
      <c r="L104" s="11"/>
    </row>
    <row r="105" spans="1:26" ht="15.75" customHeight="1">
      <c r="A105" s="18"/>
      <c r="B105" s="12"/>
      <c r="C105" s="19"/>
      <c r="D105" s="19"/>
      <c r="E105" s="19"/>
      <c r="F105" s="19"/>
      <c r="L105" s="11"/>
    </row>
    <row r="106" spans="1:26" ht="15.75" customHeight="1">
      <c r="A106" s="18"/>
      <c r="B106" s="12"/>
      <c r="C106" s="19"/>
      <c r="D106" s="19"/>
      <c r="E106" s="19"/>
      <c r="F106" s="19"/>
      <c r="L106" s="11"/>
    </row>
    <row r="107" spans="1:26" ht="15.75" customHeight="1">
      <c r="A107" s="18"/>
      <c r="B107" s="12"/>
      <c r="C107" s="19"/>
      <c r="D107" s="19"/>
      <c r="E107" s="19"/>
      <c r="F107" s="19"/>
      <c r="L107" s="11"/>
    </row>
    <row r="108" spans="1:26" ht="15.75" customHeight="1">
      <c r="A108" s="18"/>
      <c r="B108" s="12"/>
      <c r="C108" s="19"/>
      <c r="D108" s="19"/>
      <c r="E108" s="19"/>
      <c r="F108" s="19"/>
      <c r="L108" s="11"/>
    </row>
    <row r="109" spans="1:26" ht="15.75" customHeight="1">
      <c r="A109" s="18"/>
      <c r="B109" s="12"/>
      <c r="C109" s="19"/>
      <c r="D109" s="19"/>
      <c r="E109" s="19"/>
      <c r="F109" s="19"/>
      <c r="L109" s="11"/>
    </row>
    <row r="110" spans="1:26" ht="15.75" customHeight="1">
      <c r="A110" s="18"/>
      <c r="B110" s="12"/>
      <c r="C110" s="19"/>
      <c r="D110" s="19"/>
      <c r="E110" s="19"/>
      <c r="F110" s="19"/>
      <c r="L110" s="11"/>
    </row>
    <row r="111" spans="1:26" ht="15.75" customHeight="1">
      <c r="A111" s="18"/>
      <c r="B111" s="12"/>
      <c r="C111" s="19"/>
      <c r="D111" s="19"/>
      <c r="E111" s="19"/>
      <c r="F111" s="19"/>
      <c r="L111" s="11"/>
    </row>
    <row r="112" spans="1:26" ht="15.75" customHeight="1">
      <c r="A112" s="18"/>
      <c r="B112" s="12"/>
      <c r="C112" s="19"/>
      <c r="D112" s="19"/>
      <c r="E112" s="19"/>
      <c r="F112" s="19"/>
      <c r="L112" s="11"/>
    </row>
    <row r="113" spans="1:12" ht="15.75" customHeight="1">
      <c r="A113" s="18"/>
      <c r="B113" s="12"/>
      <c r="C113" s="19"/>
      <c r="D113" s="19"/>
      <c r="E113" s="19"/>
      <c r="F113" s="19"/>
      <c r="L113" s="11"/>
    </row>
    <row r="114" spans="1:12" ht="15.75" customHeight="1">
      <c r="A114" s="18"/>
      <c r="B114" s="12"/>
      <c r="C114" s="19"/>
      <c r="D114" s="19"/>
      <c r="E114" s="19"/>
      <c r="F114" s="19"/>
      <c r="L114" s="11"/>
    </row>
    <row r="115" spans="1:12" ht="15.75" customHeight="1">
      <c r="A115" s="18"/>
      <c r="B115" s="12"/>
      <c r="C115" s="19"/>
      <c r="D115" s="19"/>
      <c r="E115" s="19"/>
      <c r="F115" s="19"/>
      <c r="L115" s="11"/>
    </row>
    <row r="116" spans="1:12" ht="15.75" customHeight="1">
      <c r="A116" s="18"/>
      <c r="B116" s="12"/>
      <c r="C116" s="19"/>
      <c r="D116" s="19"/>
      <c r="E116" s="19"/>
      <c r="F116" s="19"/>
      <c r="L116" s="11"/>
    </row>
    <row r="117" spans="1:12" ht="15.75" customHeight="1">
      <c r="A117" s="18"/>
      <c r="B117" s="12"/>
      <c r="C117" s="19"/>
      <c r="D117" s="19"/>
      <c r="E117" s="19"/>
      <c r="F117" s="19"/>
      <c r="L117" s="11"/>
    </row>
    <row r="118" spans="1:12" ht="15.75" customHeight="1">
      <c r="A118" s="18"/>
      <c r="B118" s="12"/>
      <c r="C118" s="19"/>
      <c r="D118" s="19"/>
      <c r="E118" s="19"/>
      <c r="F118" s="19"/>
      <c r="L118" s="11"/>
    </row>
    <row r="119" spans="1:12" ht="15.75" customHeight="1">
      <c r="A119" s="18"/>
      <c r="B119" s="12"/>
      <c r="C119" s="19"/>
      <c r="D119" s="19"/>
      <c r="E119" s="19"/>
      <c r="F119" s="19"/>
      <c r="L119" s="11"/>
    </row>
    <row r="120" spans="1:12" ht="15.75" customHeight="1">
      <c r="A120" s="18"/>
      <c r="B120" s="12"/>
      <c r="C120" s="19"/>
      <c r="D120" s="19"/>
      <c r="E120" s="19"/>
      <c r="F120" s="19"/>
      <c r="L120" s="11"/>
    </row>
    <row r="121" spans="1:12" ht="15.75" customHeight="1">
      <c r="A121" s="18"/>
      <c r="B121" s="12"/>
      <c r="C121" s="19"/>
      <c r="D121" s="19"/>
      <c r="E121" s="19"/>
      <c r="F121" s="19"/>
      <c r="L121" s="11"/>
    </row>
    <row r="122" spans="1:12" ht="15.75" customHeight="1">
      <c r="A122" s="18"/>
      <c r="B122" s="12"/>
      <c r="C122" s="19"/>
      <c r="D122" s="19"/>
      <c r="E122" s="19"/>
      <c r="F122" s="19"/>
      <c r="L122" s="11"/>
    </row>
    <row r="123" spans="1:12" ht="15.75" customHeight="1">
      <c r="A123" s="18"/>
      <c r="B123" s="12"/>
      <c r="C123" s="19"/>
      <c r="D123" s="19"/>
      <c r="E123" s="19"/>
      <c r="F123" s="19"/>
      <c r="L123" s="11"/>
    </row>
    <row r="124" spans="1:12" ht="15.75" customHeight="1">
      <c r="A124" s="18"/>
      <c r="B124" s="12"/>
      <c r="C124" s="19"/>
      <c r="D124" s="19"/>
      <c r="E124" s="19"/>
      <c r="F124" s="19"/>
      <c r="L124" s="11"/>
    </row>
    <row r="125" spans="1:12" ht="15.75" customHeight="1">
      <c r="A125" s="18"/>
      <c r="B125" s="12"/>
      <c r="C125" s="19"/>
      <c r="D125" s="19"/>
      <c r="E125" s="19"/>
      <c r="F125" s="19"/>
      <c r="L125" s="11"/>
    </row>
    <row r="126" spans="1:12" ht="15.75" customHeight="1">
      <c r="A126" s="18"/>
      <c r="B126" s="12"/>
      <c r="C126" s="19"/>
      <c r="D126" s="19"/>
      <c r="E126" s="19"/>
      <c r="F126" s="19"/>
      <c r="L126" s="11"/>
    </row>
    <row r="127" spans="1:12" ht="15.75" customHeight="1">
      <c r="A127" s="18"/>
      <c r="B127" s="12"/>
      <c r="C127" s="19"/>
      <c r="D127" s="19"/>
      <c r="E127" s="19"/>
      <c r="F127" s="19"/>
      <c r="L127" s="11"/>
    </row>
    <row r="128" spans="1:12" ht="15.75" customHeight="1">
      <c r="A128" s="18"/>
      <c r="B128" s="12"/>
      <c r="C128" s="19"/>
      <c r="D128" s="19"/>
      <c r="E128" s="19"/>
      <c r="F128" s="19"/>
      <c r="L128" s="11"/>
    </row>
    <row r="129" spans="1:12" ht="15.75" customHeight="1">
      <c r="A129" s="18"/>
      <c r="B129" s="12"/>
      <c r="C129" s="19"/>
      <c r="D129" s="19"/>
      <c r="E129" s="19"/>
      <c r="F129" s="19"/>
      <c r="L129" s="11"/>
    </row>
    <row r="130" spans="1:12" ht="15.75" customHeight="1">
      <c r="A130" s="18"/>
      <c r="B130" s="12"/>
      <c r="C130" s="19"/>
      <c r="D130" s="19"/>
      <c r="E130" s="19"/>
      <c r="F130" s="19"/>
      <c r="L130" s="11"/>
    </row>
    <row r="131" spans="1:12" ht="15.75" customHeight="1">
      <c r="A131" s="18"/>
      <c r="B131" s="12"/>
      <c r="C131" s="19"/>
      <c r="D131" s="19"/>
      <c r="E131" s="19"/>
      <c r="F131" s="19"/>
      <c r="L131" s="11"/>
    </row>
    <row r="132" spans="1:12" ht="15.75" customHeight="1">
      <c r="A132" s="18"/>
      <c r="B132" s="12"/>
      <c r="C132" s="19"/>
      <c r="D132" s="19"/>
      <c r="E132" s="19"/>
      <c r="F132" s="19"/>
      <c r="L132" s="11"/>
    </row>
    <row r="133" spans="1:12" ht="15.75" customHeight="1">
      <c r="A133" s="18"/>
      <c r="B133" s="12"/>
      <c r="C133" s="19"/>
      <c r="D133" s="19"/>
      <c r="E133" s="19"/>
      <c r="F133" s="19"/>
      <c r="L133" s="11"/>
    </row>
    <row r="134" spans="1:12" ht="15.75" customHeight="1">
      <c r="A134" s="18"/>
      <c r="B134" s="12"/>
      <c r="C134" s="19"/>
      <c r="D134" s="19"/>
      <c r="E134" s="19"/>
      <c r="F134" s="19"/>
      <c r="L134" s="11"/>
    </row>
    <row r="135" spans="1:12" ht="15.75" customHeight="1">
      <c r="A135" s="18"/>
      <c r="B135" s="12"/>
      <c r="C135" s="19"/>
      <c r="D135" s="19"/>
      <c r="E135" s="19"/>
      <c r="F135" s="19"/>
      <c r="L135" s="11"/>
    </row>
    <row r="136" spans="1:12" ht="15.75" customHeight="1">
      <c r="A136" s="18"/>
      <c r="B136" s="12"/>
      <c r="C136" s="19"/>
      <c r="D136" s="19"/>
      <c r="E136" s="19"/>
      <c r="F136" s="19"/>
      <c r="L136" s="11"/>
    </row>
    <row r="137" spans="1:12" ht="15.75" customHeight="1">
      <c r="A137" s="18"/>
      <c r="B137" s="12"/>
      <c r="C137" s="19"/>
      <c r="D137" s="19"/>
      <c r="E137" s="19"/>
      <c r="F137" s="19"/>
      <c r="L137" s="11"/>
    </row>
    <row r="138" spans="1:12" ht="15.75" customHeight="1">
      <c r="A138" s="18"/>
      <c r="B138" s="12"/>
      <c r="C138" s="19"/>
      <c r="D138" s="19"/>
      <c r="E138" s="19"/>
      <c r="F138" s="19"/>
      <c r="L138" s="11"/>
    </row>
    <row r="139" spans="1:12" ht="15.75" customHeight="1">
      <c r="A139" s="18"/>
      <c r="B139" s="12"/>
      <c r="C139" s="19"/>
      <c r="D139" s="19"/>
      <c r="E139" s="19"/>
      <c r="F139" s="19"/>
      <c r="L139" s="11"/>
    </row>
    <row r="140" spans="1:12" ht="15.75" customHeight="1">
      <c r="A140" s="18"/>
      <c r="B140" s="12"/>
      <c r="C140" s="19"/>
      <c r="D140" s="19"/>
      <c r="E140" s="19"/>
      <c r="F140" s="19"/>
      <c r="L140" s="11"/>
    </row>
    <row r="141" spans="1:12" ht="15.75" customHeight="1">
      <c r="A141" s="18"/>
      <c r="B141" s="12"/>
      <c r="C141" s="19"/>
      <c r="D141" s="19"/>
      <c r="E141" s="19"/>
      <c r="F141" s="19"/>
      <c r="L141" s="11"/>
    </row>
    <row r="142" spans="1:12" ht="15.75" customHeight="1">
      <c r="A142" s="18"/>
      <c r="B142" s="12"/>
      <c r="C142" s="19"/>
      <c r="D142" s="19"/>
      <c r="E142" s="19"/>
      <c r="F142" s="19"/>
      <c r="L142" s="11"/>
    </row>
    <row r="143" spans="1:12" ht="15.75" customHeight="1">
      <c r="A143" s="18"/>
      <c r="B143" s="12"/>
      <c r="C143" s="19"/>
      <c r="D143" s="19"/>
      <c r="E143" s="19"/>
      <c r="F143" s="19"/>
      <c r="L143" s="11"/>
    </row>
    <row r="144" spans="1:12" ht="15.75" customHeight="1">
      <c r="A144" s="18"/>
      <c r="B144" s="12"/>
      <c r="C144" s="19"/>
      <c r="D144" s="19"/>
      <c r="E144" s="19"/>
      <c r="F144" s="19"/>
      <c r="L144" s="11"/>
    </row>
    <row r="145" spans="1:12" ht="15.75" customHeight="1">
      <c r="A145" s="18"/>
      <c r="B145" s="12"/>
      <c r="C145" s="19"/>
      <c r="D145" s="19"/>
      <c r="E145" s="19"/>
      <c r="F145" s="19"/>
      <c r="L145" s="11"/>
    </row>
    <row r="146" spans="1:12" ht="15.75" customHeight="1">
      <c r="A146" s="18"/>
      <c r="B146" s="12"/>
      <c r="C146" s="19"/>
      <c r="D146" s="19"/>
      <c r="E146" s="19"/>
      <c r="F146" s="19"/>
      <c r="L146" s="11"/>
    </row>
    <row r="147" spans="1:12" ht="15.75" customHeight="1">
      <c r="A147" s="18"/>
      <c r="B147" s="12"/>
      <c r="C147" s="19"/>
      <c r="D147" s="19"/>
      <c r="E147" s="19"/>
      <c r="F147" s="19"/>
      <c r="L147" s="11"/>
    </row>
    <row r="148" spans="1:12" ht="15.75" customHeight="1">
      <c r="A148" s="18"/>
      <c r="B148" s="12"/>
      <c r="C148" s="19"/>
      <c r="D148" s="19"/>
      <c r="E148" s="19"/>
      <c r="F148" s="19"/>
      <c r="L148" s="11"/>
    </row>
    <row r="149" spans="1:12" ht="15.75" customHeight="1">
      <c r="A149" s="18"/>
      <c r="B149" s="12"/>
      <c r="C149" s="19"/>
      <c r="D149" s="19"/>
      <c r="E149" s="19"/>
      <c r="F149" s="19"/>
      <c r="L149" s="11"/>
    </row>
    <row r="150" spans="1:12" ht="15.75" customHeight="1">
      <c r="A150" s="18"/>
      <c r="B150" s="12"/>
      <c r="C150" s="19"/>
      <c r="D150" s="19"/>
      <c r="E150" s="19"/>
      <c r="F150" s="19"/>
      <c r="L150" s="11"/>
    </row>
    <row r="151" spans="1:12" ht="15.75" customHeight="1">
      <c r="A151" s="18"/>
      <c r="B151" s="12"/>
      <c r="C151" s="19"/>
      <c r="D151" s="19"/>
      <c r="E151" s="19"/>
      <c r="F151" s="19"/>
      <c r="L151" s="11"/>
    </row>
    <row r="152" spans="1:12" ht="15.75" customHeight="1">
      <c r="A152" s="18"/>
      <c r="B152" s="12"/>
      <c r="C152" s="19"/>
      <c r="D152" s="19"/>
      <c r="E152" s="19"/>
      <c r="F152" s="19"/>
      <c r="L152" s="11"/>
    </row>
    <row r="153" spans="1:12" ht="15.75" customHeight="1">
      <c r="A153" s="18"/>
      <c r="B153" s="12"/>
      <c r="C153" s="19"/>
      <c r="D153" s="19"/>
      <c r="E153" s="19"/>
      <c r="F153" s="19"/>
      <c r="L153" s="11"/>
    </row>
    <row r="154" spans="1:12" ht="15.75" customHeight="1">
      <c r="A154" s="18"/>
      <c r="B154" s="12"/>
      <c r="C154" s="19"/>
      <c r="D154" s="19"/>
      <c r="E154" s="19"/>
      <c r="F154" s="19"/>
      <c r="L154" s="11"/>
    </row>
    <row r="155" spans="1:12" ht="15.75" customHeight="1">
      <c r="A155" s="18"/>
      <c r="B155" s="12"/>
      <c r="C155" s="19"/>
      <c r="D155" s="19"/>
      <c r="E155" s="19"/>
      <c r="F155" s="19"/>
      <c r="L155" s="11"/>
    </row>
    <row r="156" spans="1:12" ht="15.75" customHeight="1">
      <c r="A156" s="18"/>
      <c r="B156" s="12"/>
      <c r="C156" s="19"/>
      <c r="D156" s="19"/>
      <c r="E156" s="19"/>
      <c r="F156" s="19"/>
      <c r="L156" s="11"/>
    </row>
    <row r="157" spans="1:12" ht="15.75" customHeight="1">
      <c r="A157" s="18"/>
      <c r="B157" s="12"/>
      <c r="C157" s="19"/>
      <c r="D157" s="19"/>
      <c r="E157" s="19"/>
      <c r="F157" s="19"/>
      <c r="L157" s="11"/>
    </row>
    <row r="158" spans="1:12" ht="15.75" customHeight="1">
      <c r="A158" s="18"/>
      <c r="B158" s="12"/>
      <c r="C158" s="19"/>
      <c r="D158" s="19"/>
      <c r="E158" s="19"/>
      <c r="F158" s="19"/>
      <c r="L158" s="11"/>
    </row>
    <row r="159" spans="1:12" ht="15.75" customHeight="1">
      <c r="A159" s="18"/>
      <c r="B159" s="12"/>
      <c r="C159" s="19"/>
      <c r="D159" s="19"/>
      <c r="E159" s="19"/>
      <c r="F159" s="19"/>
      <c r="L159" s="11"/>
    </row>
    <row r="160" spans="1:12" ht="15.75" customHeight="1">
      <c r="A160" s="18"/>
      <c r="B160" s="12"/>
      <c r="C160" s="19"/>
      <c r="D160" s="19"/>
      <c r="E160" s="19"/>
      <c r="F160" s="19"/>
      <c r="L160" s="11"/>
    </row>
    <row r="161" spans="1:12" ht="15.75" customHeight="1">
      <c r="A161" s="18"/>
      <c r="B161" s="12"/>
      <c r="C161" s="19"/>
      <c r="D161" s="19"/>
      <c r="E161" s="19"/>
      <c r="F161" s="19"/>
      <c r="L161" s="11"/>
    </row>
    <row r="162" spans="1:12" ht="15.75" customHeight="1">
      <c r="A162" s="18"/>
      <c r="B162" s="12"/>
      <c r="C162" s="19"/>
      <c r="D162" s="19"/>
      <c r="E162" s="19"/>
      <c r="F162" s="19"/>
      <c r="L162" s="11"/>
    </row>
    <row r="163" spans="1:12" ht="15.75" customHeight="1">
      <c r="A163" s="18"/>
      <c r="B163" s="12"/>
      <c r="C163" s="19"/>
      <c r="D163" s="19"/>
      <c r="E163" s="19"/>
      <c r="F163" s="19"/>
      <c r="L163" s="11"/>
    </row>
    <row r="164" spans="1:12" ht="15.75" customHeight="1">
      <c r="A164" s="18"/>
      <c r="B164" s="12"/>
      <c r="C164" s="19"/>
      <c r="D164" s="19"/>
      <c r="E164" s="19"/>
      <c r="F164" s="19"/>
      <c r="L164" s="11"/>
    </row>
    <row r="165" spans="1:12" ht="15.75" customHeight="1">
      <c r="A165" s="18"/>
      <c r="B165" s="12"/>
      <c r="C165" s="19"/>
      <c r="D165" s="19"/>
      <c r="E165" s="19"/>
      <c r="F165" s="19"/>
      <c r="L165" s="11"/>
    </row>
    <row r="166" spans="1:12" ht="15.75" customHeight="1">
      <c r="A166" s="18"/>
      <c r="B166" s="12"/>
      <c r="C166" s="19"/>
      <c r="D166" s="19"/>
      <c r="E166" s="19"/>
      <c r="F166" s="19"/>
      <c r="L166" s="11"/>
    </row>
    <row r="167" spans="1:12" ht="15.75" customHeight="1">
      <c r="A167" s="18"/>
      <c r="B167" s="12"/>
      <c r="C167" s="19"/>
      <c r="D167" s="19"/>
      <c r="E167" s="19"/>
      <c r="F167" s="19"/>
      <c r="L167" s="11"/>
    </row>
    <row r="168" spans="1:12" ht="15.75" customHeight="1">
      <c r="A168" s="18"/>
      <c r="B168" s="12"/>
      <c r="C168" s="19"/>
      <c r="D168" s="19"/>
      <c r="E168" s="19"/>
      <c r="F168" s="19"/>
      <c r="L168" s="11"/>
    </row>
    <row r="169" spans="1:12" ht="15.75" customHeight="1">
      <c r="A169" s="18"/>
      <c r="B169" s="12"/>
      <c r="C169" s="19"/>
      <c r="D169" s="19"/>
      <c r="E169" s="19"/>
      <c r="F169" s="19"/>
      <c r="L169" s="11"/>
    </row>
    <row r="170" spans="1:12" ht="15.75" customHeight="1">
      <c r="A170" s="18"/>
      <c r="B170" s="12"/>
      <c r="C170" s="19"/>
      <c r="D170" s="19"/>
      <c r="E170" s="19"/>
      <c r="F170" s="19"/>
      <c r="L170" s="11"/>
    </row>
    <row r="171" spans="1:12" ht="15.75" customHeight="1">
      <c r="A171" s="18"/>
      <c r="B171" s="12"/>
      <c r="C171" s="19"/>
      <c r="D171" s="19"/>
      <c r="E171" s="19"/>
      <c r="F171" s="19"/>
      <c r="L171" s="11"/>
    </row>
    <row r="172" spans="1:12" ht="15.75" customHeight="1">
      <c r="A172" s="18"/>
      <c r="B172" s="12"/>
      <c r="C172" s="19"/>
      <c r="D172" s="19"/>
      <c r="E172" s="19"/>
      <c r="F172" s="19"/>
      <c r="L172" s="11"/>
    </row>
    <row r="173" spans="1:12" ht="15.75" customHeight="1">
      <c r="A173" s="18"/>
      <c r="B173" s="12"/>
      <c r="C173" s="19"/>
      <c r="D173" s="19"/>
      <c r="E173" s="19"/>
      <c r="F173" s="19"/>
      <c r="L173" s="11"/>
    </row>
    <row r="174" spans="1:12" ht="15.75" customHeight="1">
      <c r="A174" s="18"/>
      <c r="B174" s="12"/>
      <c r="C174" s="19"/>
      <c r="D174" s="19"/>
      <c r="E174" s="19"/>
      <c r="F174" s="19"/>
      <c r="L174" s="11"/>
    </row>
    <row r="175" spans="1:12" ht="15.75" customHeight="1">
      <c r="A175" s="18"/>
      <c r="B175" s="12"/>
      <c r="C175" s="19"/>
      <c r="D175" s="19"/>
      <c r="E175" s="19"/>
      <c r="F175" s="19"/>
      <c r="L175" s="11"/>
    </row>
    <row r="176" spans="1:12" ht="15.75" customHeight="1">
      <c r="A176" s="18"/>
      <c r="B176" s="12"/>
      <c r="C176" s="19"/>
      <c r="D176" s="19"/>
      <c r="E176" s="19"/>
      <c r="F176" s="19"/>
      <c r="L176" s="11"/>
    </row>
    <row r="177" spans="1:12" ht="15.75" customHeight="1">
      <c r="A177" s="18"/>
      <c r="B177" s="12"/>
      <c r="C177" s="19"/>
      <c r="D177" s="19"/>
      <c r="E177" s="19"/>
      <c r="F177" s="19"/>
      <c r="L177" s="11"/>
    </row>
    <row r="178" spans="1:12" ht="15.75" customHeight="1">
      <c r="A178" s="18"/>
      <c r="B178" s="12"/>
      <c r="C178" s="19"/>
      <c r="D178" s="19"/>
      <c r="E178" s="19"/>
      <c r="F178" s="19"/>
      <c r="L178" s="11"/>
    </row>
    <row r="179" spans="1:12" ht="15.75" customHeight="1">
      <c r="A179" s="18"/>
      <c r="B179" s="12"/>
      <c r="C179" s="19"/>
      <c r="D179" s="19"/>
      <c r="E179" s="19"/>
      <c r="F179" s="19"/>
      <c r="L179" s="11"/>
    </row>
    <row r="180" spans="1:12" ht="15.75" customHeight="1">
      <c r="A180" s="18"/>
      <c r="B180" s="12"/>
      <c r="C180" s="19"/>
      <c r="D180" s="19"/>
      <c r="E180" s="19"/>
      <c r="F180" s="19"/>
      <c r="L180" s="11"/>
    </row>
    <row r="181" spans="1:12" ht="15.75" customHeight="1">
      <c r="A181" s="18"/>
      <c r="B181" s="12"/>
      <c r="C181" s="19"/>
      <c r="D181" s="19"/>
      <c r="E181" s="19"/>
      <c r="F181" s="19"/>
      <c r="L181" s="11"/>
    </row>
    <row r="182" spans="1:12" ht="15.75" customHeight="1">
      <c r="A182" s="18"/>
      <c r="B182" s="12"/>
      <c r="C182" s="19"/>
      <c r="D182" s="19"/>
      <c r="E182" s="19"/>
      <c r="F182" s="19"/>
      <c r="L182" s="11"/>
    </row>
    <row r="183" spans="1:12" ht="15.75" customHeight="1">
      <c r="A183" s="18"/>
      <c r="B183" s="12"/>
      <c r="C183" s="19"/>
      <c r="D183" s="19"/>
      <c r="E183" s="19"/>
      <c r="F183" s="19"/>
      <c r="L183" s="11"/>
    </row>
    <row r="184" spans="1:12" ht="15.75" customHeight="1">
      <c r="A184" s="18"/>
      <c r="B184" s="12"/>
      <c r="C184" s="19"/>
      <c r="D184" s="19"/>
      <c r="E184" s="19"/>
      <c r="F184" s="19"/>
      <c r="L184" s="11"/>
    </row>
    <row r="185" spans="1:12" ht="15.75" customHeight="1">
      <c r="A185" s="18"/>
      <c r="B185" s="12"/>
      <c r="C185" s="19"/>
      <c r="D185" s="19"/>
      <c r="E185" s="19"/>
      <c r="F185" s="19"/>
      <c r="L185" s="11"/>
    </row>
    <row r="186" spans="1:12" ht="15.75" customHeight="1">
      <c r="A186" s="18"/>
      <c r="B186" s="12"/>
      <c r="C186" s="19"/>
      <c r="D186" s="19"/>
      <c r="E186" s="19"/>
      <c r="F186" s="19"/>
      <c r="L186" s="11"/>
    </row>
    <row r="187" spans="1:12" ht="15.75" customHeight="1">
      <c r="A187" s="18"/>
      <c r="B187" s="12"/>
      <c r="C187" s="19"/>
      <c r="D187" s="19"/>
      <c r="E187" s="19"/>
      <c r="F187" s="19"/>
      <c r="L187" s="11"/>
    </row>
    <row r="188" spans="1:12" ht="15.75" customHeight="1">
      <c r="A188" s="18"/>
      <c r="B188" s="12"/>
      <c r="C188" s="19"/>
      <c r="D188" s="19"/>
      <c r="E188" s="19"/>
      <c r="F188" s="19"/>
      <c r="L188" s="11"/>
    </row>
    <row r="189" spans="1:12" ht="15.75" customHeight="1">
      <c r="A189" s="18"/>
      <c r="B189" s="12"/>
      <c r="C189" s="19"/>
      <c r="D189" s="19"/>
      <c r="E189" s="19"/>
      <c r="F189" s="19"/>
      <c r="L189" s="11"/>
    </row>
    <row r="190" spans="1:12" ht="15.75" customHeight="1">
      <c r="A190" s="18"/>
      <c r="B190" s="12"/>
      <c r="C190" s="19"/>
      <c r="D190" s="19"/>
      <c r="E190" s="19"/>
      <c r="F190" s="19"/>
      <c r="L190" s="11"/>
    </row>
    <row r="191" spans="1:12" ht="15.75" customHeight="1">
      <c r="A191" s="18"/>
      <c r="B191" s="12"/>
      <c r="C191" s="19"/>
      <c r="D191" s="19"/>
      <c r="E191" s="19"/>
      <c r="F191" s="19"/>
      <c r="L191" s="11"/>
    </row>
    <row r="192" spans="1:12" ht="15.75" customHeight="1">
      <c r="A192" s="18"/>
      <c r="B192" s="12"/>
      <c r="C192" s="19"/>
      <c r="D192" s="19"/>
      <c r="E192" s="19"/>
      <c r="F192" s="19"/>
      <c r="L192" s="11"/>
    </row>
    <row r="193" spans="1:12" ht="15.75" customHeight="1">
      <c r="A193" s="18"/>
      <c r="B193" s="12"/>
      <c r="C193" s="19"/>
      <c r="D193" s="19"/>
      <c r="E193" s="19"/>
      <c r="F193" s="19"/>
      <c r="L193" s="11"/>
    </row>
    <row r="194" spans="1:12" ht="15.75" customHeight="1">
      <c r="A194" s="18"/>
      <c r="B194" s="12"/>
      <c r="C194" s="19"/>
      <c r="D194" s="19"/>
      <c r="E194" s="19"/>
      <c r="F194" s="19"/>
      <c r="L194" s="11"/>
    </row>
    <row r="195" spans="1:12" ht="15.75" customHeight="1">
      <c r="A195" s="18"/>
      <c r="B195" s="12"/>
      <c r="C195" s="19"/>
      <c r="D195" s="19"/>
      <c r="E195" s="19"/>
      <c r="F195" s="19"/>
      <c r="L195" s="11"/>
    </row>
    <row r="196" spans="1:12" ht="15.75" customHeight="1">
      <c r="A196" s="18"/>
      <c r="B196" s="12"/>
      <c r="C196" s="19"/>
      <c r="D196" s="19"/>
      <c r="E196" s="19"/>
      <c r="F196" s="19"/>
      <c r="L196" s="11"/>
    </row>
    <row r="197" spans="1:12" ht="15.75" customHeight="1">
      <c r="A197" s="18"/>
      <c r="B197" s="12"/>
      <c r="C197" s="19"/>
      <c r="D197" s="19"/>
      <c r="E197" s="19"/>
      <c r="F197" s="19"/>
      <c r="L197" s="11"/>
    </row>
    <row r="198" spans="1:12" ht="15.75" customHeight="1">
      <c r="A198" s="18"/>
      <c r="B198" s="12"/>
      <c r="C198" s="19"/>
      <c r="D198" s="19"/>
      <c r="E198" s="19"/>
      <c r="F198" s="19"/>
      <c r="L198" s="11"/>
    </row>
    <row r="199" spans="1:12" ht="15.75" customHeight="1">
      <c r="A199" s="18"/>
      <c r="B199" s="12"/>
      <c r="C199" s="19"/>
      <c r="D199" s="19"/>
      <c r="E199" s="19"/>
      <c r="F199" s="19"/>
      <c r="L199" s="11"/>
    </row>
    <row r="200" spans="1:12" ht="15.75" customHeight="1">
      <c r="A200" s="18"/>
      <c r="B200" s="12"/>
      <c r="C200" s="19"/>
      <c r="D200" s="19"/>
      <c r="E200" s="19"/>
      <c r="F200" s="19"/>
      <c r="L200" s="11"/>
    </row>
    <row r="201" spans="1:12" ht="15.75" customHeight="1">
      <c r="A201" s="18"/>
      <c r="B201" s="12"/>
      <c r="C201" s="19"/>
      <c r="D201" s="19"/>
      <c r="E201" s="19"/>
      <c r="F201" s="19"/>
      <c r="L201" s="11"/>
    </row>
    <row r="202" spans="1:12" ht="15.75" customHeight="1">
      <c r="A202" s="18"/>
      <c r="B202" s="12"/>
      <c r="C202" s="19"/>
      <c r="D202" s="19"/>
      <c r="E202" s="19"/>
      <c r="F202" s="19"/>
      <c r="L202" s="11"/>
    </row>
    <row r="203" spans="1:12" ht="15.75" customHeight="1">
      <c r="A203" s="18"/>
      <c r="B203" s="12"/>
      <c r="C203" s="19"/>
      <c r="D203" s="19"/>
      <c r="E203" s="19"/>
      <c r="F203" s="19"/>
      <c r="L203" s="11"/>
    </row>
    <row r="204" spans="1:12" ht="15.75" customHeight="1">
      <c r="A204" s="18"/>
      <c r="B204" s="12"/>
      <c r="C204" s="19"/>
      <c r="D204" s="19"/>
      <c r="E204" s="19"/>
      <c r="F204" s="19"/>
      <c r="L204" s="11"/>
    </row>
    <row r="205" spans="1:12" ht="15.75" customHeight="1">
      <c r="A205" s="18"/>
      <c r="B205" s="12"/>
      <c r="C205" s="19"/>
      <c r="D205" s="19"/>
      <c r="E205" s="19"/>
      <c r="F205" s="19"/>
      <c r="L205" s="11"/>
    </row>
    <row r="206" spans="1:12" ht="15.75" customHeight="1">
      <c r="A206" s="18"/>
      <c r="B206" s="12"/>
      <c r="C206" s="19"/>
      <c r="D206" s="19"/>
      <c r="E206" s="19"/>
      <c r="F206" s="19"/>
      <c r="L206" s="11"/>
    </row>
    <row r="207" spans="1:12" ht="15.75" customHeight="1">
      <c r="A207" s="18"/>
      <c r="B207" s="12"/>
      <c r="C207" s="19"/>
      <c r="D207" s="19"/>
      <c r="E207" s="19"/>
      <c r="F207" s="19"/>
      <c r="L207" s="11"/>
    </row>
    <row r="208" spans="1:12" ht="15.75" customHeight="1">
      <c r="A208" s="18"/>
      <c r="B208" s="12"/>
      <c r="C208" s="19"/>
      <c r="D208" s="19"/>
      <c r="E208" s="19"/>
      <c r="F208" s="19"/>
      <c r="L208" s="11"/>
    </row>
    <row r="209" spans="1:12" ht="15.75" customHeight="1">
      <c r="A209" s="18"/>
      <c r="B209" s="12"/>
      <c r="C209" s="19"/>
      <c r="D209" s="19"/>
      <c r="E209" s="19"/>
      <c r="F209" s="19"/>
      <c r="L209" s="11"/>
    </row>
    <row r="210" spans="1:12" ht="15.75" customHeight="1">
      <c r="A210" s="18"/>
      <c r="B210" s="12"/>
      <c r="C210" s="19"/>
      <c r="D210" s="19"/>
      <c r="E210" s="19"/>
      <c r="F210" s="19"/>
      <c r="L210" s="11"/>
    </row>
    <row r="211" spans="1:12" ht="15.75" customHeight="1">
      <c r="A211" s="18"/>
      <c r="B211" s="12"/>
      <c r="C211" s="19"/>
      <c r="D211" s="19"/>
      <c r="E211" s="19"/>
      <c r="F211" s="19"/>
      <c r="L211" s="11"/>
    </row>
    <row r="212" spans="1:12" ht="15.75" customHeight="1">
      <c r="A212" s="18"/>
      <c r="B212" s="12"/>
      <c r="C212" s="19"/>
      <c r="D212" s="19"/>
      <c r="E212" s="19"/>
      <c r="F212" s="19"/>
      <c r="L212" s="11"/>
    </row>
    <row r="213" spans="1:12" ht="15.75" customHeight="1">
      <c r="A213" s="18"/>
      <c r="B213" s="12"/>
      <c r="C213" s="19"/>
      <c r="D213" s="19"/>
      <c r="E213" s="19"/>
      <c r="F213" s="19"/>
      <c r="L213" s="11"/>
    </row>
    <row r="214" spans="1:12" ht="15.75" customHeight="1">
      <c r="A214" s="18"/>
      <c r="B214" s="12"/>
      <c r="C214" s="19"/>
      <c r="D214" s="19"/>
      <c r="E214" s="19"/>
      <c r="F214" s="19"/>
      <c r="L214" s="11"/>
    </row>
    <row r="215" spans="1:12" ht="15.75" customHeight="1">
      <c r="A215" s="18"/>
      <c r="B215" s="12"/>
      <c r="C215" s="19"/>
      <c r="D215" s="19"/>
      <c r="E215" s="19"/>
      <c r="F215" s="19"/>
      <c r="L215" s="11"/>
    </row>
    <row r="216" spans="1:12" ht="15.75" customHeight="1">
      <c r="A216" s="18"/>
      <c r="B216" s="12"/>
      <c r="C216" s="19"/>
      <c r="D216" s="19"/>
      <c r="E216" s="19"/>
      <c r="F216" s="19"/>
      <c r="L216" s="11"/>
    </row>
    <row r="217" spans="1:12" ht="15.75" customHeight="1">
      <c r="A217" s="18"/>
      <c r="B217" s="12"/>
      <c r="C217" s="19"/>
      <c r="D217" s="19"/>
      <c r="E217" s="19"/>
      <c r="F217" s="19"/>
      <c r="L217" s="11"/>
    </row>
    <row r="218" spans="1:12" ht="15.75" customHeight="1">
      <c r="A218" s="18"/>
      <c r="B218" s="12"/>
      <c r="C218" s="19"/>
      <c r="D218" s="19"/>
      <c r="E218" s="19"/>
      <c r="F218" s="19"/>
      <c r="L218" s="11"/>
    </row>
    <row r="219" spans="1:12" ht="15.75" customHeight="1">
      <c r="A219" s="18"/>
      <c r="B219" s="12"/>
      <c r="C219" s="19"/>
      <c r="D219" s="19"/>
      <c r="E219" s="19"/>
      <c r="F219" s="19"/>
      <c r="L219" s="11"/>
    </row>
    <row r="220" spans="1:12" ht="15.75" customHeight="1">
      <c r="A220" s="18"/>
      <c r="B220" s="12"/>
      <c r="C220" s="19"/>
      <c r="D220" s="19"/>
      <c r="E220" s="19"/>
      <c r="F220" s="19"/>
      <c r="L220" s="11"/>
    </row>
    <row r="221" spans="1:12" ht="15.75" customHeight="1">
      <c r="A221" s="18"/>
      <c r="B221" s="12"/>
      <c r="C221" s="19"/>
      <c r="D221" s="19"/>
      <c r="E221" s="19"/>
      <c r="F221" s="19"/>
      <c r="L221" s="11"/>
    </row>
    <row r="222" spans="1:12" ht="15.75" customHeight="1">
      <c r="A222" s="18"/>
      <c r="B222" s="12"/>
      <c r="C222" s="19"/>
      <c r="D222" s="19"/>
      <c r="E222" s="19"/>
      <c r="F222" s="19"/>
      <c r="L222" s="11"/>
    </row>
    <row r="223" spans="1:12" ht="15.75" customHeight="1">
      <c r="A223" s="18"/>
      <c r="B223" s="12"/>
      <c r="C223" s="19"/>
      <c r="D223" s="19"/>
      <c r="E223" s="19"/>
      <c r="F223" s="19"/>
      <c r="L223" s="11"/>
    </row>
    <row r="224" spans="1:12" ht="15.75" customHeight="1">
      <c r="A224" s="18"/>
      <c r="B224" s="12"/>
      <c r="C224" s="19"/>
      <c r="D224" s="19"/>
      <c r="E224" s="19"/>
      <c r="F224" s="19"/>
      <c r="L224" s="11"/>
    </row>
    <row r="225" spans="1:12" ht="15.75" customHeight="1">
      <c r="A225" s="18"/>
      <c r="B225" s="12"/>
      <c r="C225" s="19"/>
      <c r="D225" s="19"/>
      <c r="E225" s="19"/>
      <c r="F225" s="19"/>
      <c r="L225" s="11"/>
    </row>
    <row r="226" spans="1:12" ht="15.75" customHeight="1">
      <c r="A226" s="18"/>
      <c r="B226" s="12"/>
      <c r="C226" s="19"/>
      <c r="D226" s="19"/>
      <c r="E226" s="19"/>
      <c r="F226" s="19"/>
      <c r="L226" s="11"/>
    </row>
    <row r="227" spans="1:12" ht="15.75" customHeight="1">
      <c r="A227" s="18"/>
      <c r="B227" s="12"/>
      <c r="C227" s="19"/>
      <c r="D227" s="19"/>
      <c r="E227" s="19"/>
      <c r="F227" s="19"/>
      <c r="L227" s="11"/>
    </row>
    <row r="228" spans="1:12" ht="15.75" customHeight="1">
      <c r="A228" s="18"/>
      <c r="B228" s="12"/>
      <c r="C228" s="19"/>
      <c r="D228" s="19"/>
      <c r="E228" s="19"/>
      <c r="F228" s="19"/>
      <c r="L228" s="11"/>
    </row>
    <row r="229" spans="1:12" ht="15.75" customHeight="1">
      <c r="A229" s="18"/>
      <c r="B229" s="12"/>
      <c r="C229" s="19"/>
      <c r="D229" s="19"/>
      <c r="E229" s="19"/>
      <c r="F229" s="19"/>
      <c r="L229" s="11"/>
    </row>
    <row r="230" spans="1:12" ht="15.75" customHeight="1">
      <c r="A230" s="18"/>
      <c r="B230" s="12"/>
      <c r="C230" s="19"/>
      <c r="D230" s="19"/>
      <c r="E230" s="19"/>
      <c r="F230" s="19"/>
      <c r="L230" s="11"/>
    </row>
    <row r="231" spans="1:12" ht="15.75" customHeight="1">
      <c r="A231" s="18"/>
      <c r="B231" s="12"/>
      <c r="C231" s="19"/>
      <c r="D231" s="19"/>
      <c r="E231" s="19"/>
      <c r="F231" s="19"/>
      <c r="L231" s="11"/>
    </row>
    <row r="232" spans="1:12" ht="15.75" customHeight="1">
      <c r="A232" s="18"/>
      <c r="B232" s="12"/>
      <c r="C232" s="19"/>
      <c r="D232" s="19"/>
      <c r="E232" s="19"/>
      <c r="F232" s="19"/>
      <c r="L232" s="11"/>
    </row>
    <row r="233" spans="1:12" ht="15.75" customHeight="1">
      <c r="A233" s="18"/>
      <c r="B233" s="12"/>
      <c r="C233" s="19"/>
      <c r="D233" s="19"/>
      <c r="E233" s="19"/>
      <c r="F233" s="19"/>
      <c r="L233" s="11"/>
    </row>
    <row r="234" spans="1:12" ht="15.75" customHeight="1">
      <c r="A234" s="18"/>
      <c r="B234" s="12"/>
      <c r="C234" s="19"/>
      <c r="D234" s="19"/>
      <c r="E234" s="19"/>
      <c r="F234" s="19"/>
      <c r="L234" s="11"/>
    </row>
    <row r="235" spans="1:12" ht="15.75" customHeight="1">
      <c r="A235" s="18"/>
      <c r="B235" s="12"/>
      <c r="C235" s="19"/>
      <c r="D235" s="19"/>
      <c r="E235" s="19"/>
      <c r="F235" s="19"/>
      <c r="L235" s="11"/>
    </row>
    <row r="236" spans="1:12" ht="15.75" customHeight="1">
      <c r="A236" s="18"/>
      <c r="B236" s="12"/>
      <c r="C236" s="19"/>
      <c r="D236" s="19"/>
      <c r="E236" s="19"/>
      <c r="F236" s="19"/>
      <c r="L236" s="11"/>
    </row>
    <row r="237" spans="1:12" ht="15.75" customHeight="1">
      <c r="A237" s="18"/>
      <c r="B237" s="12"/>
      <c r="C237" s="19"/>
      <c r="D237" s="19"/>
      <c r="E237" s="19"/>
      <c r="F237" s="19"/>
      <c r="L237" s="11"/>
    </row>
    <row r="238" spans="1:12" ht="15.75" customHeight="1">
      <c r="A238" s="18"/>
      <c r="B238" s="12"/>
      <c r="C238" s="19"/>
      <c r="D238" s="19"/>
      <c r="E238" s="19"/>
      <c r="F238" s="19"/>
      <c r="L238" s="11"/>
    </row>
    <row r="239" spans="1:12" ht="15.75" customHeight="1">
      <c r="A239" s="18"/>
      <c r="B239" s="12"/>
      <c r="C239" s="19"/>
      <c r="D239" s="19"/>
      <c r="E239" s="19"/>
      <c r="F239" s="19"/>
      <c r="L239" s="11"/>
    </row>
    <row r="240" spans="1:12" ht="15.75" customHeight="1">
      <c r="A240" s="18"/>
      <c r="B240" s="12"/>
      <c r="C240" s="19"/>
      <c r="D240" s="19"/>
      <c r="E240" s="19"/>
      <c r="F240" s="19"/>
      <c r="L240" s="11"/>
    </row>
    <row r="241" spans="1:12" ht="15.75" customHeight="1">
      <c r="A241" s="18"/>
      <c r="B241" s="12"/>
      <c r="C241" s="19"/>
      <c r="D241" s="19"/>
      <c r="E241" s="19"/>
      <c r="F241" s="19"/>
      <c r="L241" s="11"/>
    </row>
    <row r="242" spans="1:12" ht="15.75" customHeight="1">
      <c r="A242" s="18"/>
      <c r="B242" s="12"/>
      <c r="C242" s="19"/>
      <c r="D242" s="19"/>
      <c r="E242" s="19"/>
      <c r="F242" s="19"/>
      <c r="L242" s="11"/>
    </row>
    <row r="243" spans="1:12" ht="15.75" customHeight="1">
      <c r="A243" s="18"/>
      <c r="B243" s="12"/>
      <c r="C243" s="19"/>
      <c r="D243" s="19"/>
      <c r="E243" s="19"/>
      <c r="F243" s="19"/>
      <c r="L243" s="11"/>
    </row>
    <row r="244" spans="1:12" ht="15.75" customHeight="1">
      <c r="A244" s="18"/>
      <c r="B244" s="12"/>
      <c r="C244" s="19"/>
      <c r="D244" s="19"/>
      <c r="E244" s="19"/>
      <c r="F244" s="19"/>
      <c r="L244" s="11"/>
    </row>
    <row r="245" spans="1:12" ht="15.75" customHeight="1">
      <c r="A245" s="18"/>
      <c r="B245" s="21"/>
      <c r="L245" s="11"/>
    </row>
    <row r="246" spans="1:12" ht="15.75" customHeight="1">
      <c r="A246" s="18"/>
      <c r="B246" s="21"/>
      <c r="L246" s="11"/>
    </row>
    <row r="247" spans="1:12" ht="15.75" customHeight="1">
      <c r="A247" s="18"/>
      <c r="B247" s="21"/>
      <c r="L247" s="11"/>
    </row>
    <row r="248" spans="1:12" ht="15.75" customHeight="1">
      <c r="A248" s="18"/>
      <c r="B248" s="21"/>
      <c r="L248" s="11"/>
    </row>
    <row r="249" spans="1:12" ht="15.75" customHeight="1">
      <c r="A249" s="18"/>
      <c r="B249" s="21"/>
      <c r="L249" s="11"/>
    </row>
    <row r="250" spans="1:12" ht="15.75" customHeight="1">
      <c r="A250" s="18"/>
      <c r="B250" s="21"/>
      <c r="L250" s="11"/>
    </row>
    <row r="251" spans="1:12" ht="15.75" customHeight="1">
      <c r="A251" s="18"/>
      <c r="B251" s="21"/>
      <c r="L251" s="11"/>
    </row>
    <row r="252" spans="1:12" ht="15.75" customHeight="1">
      <c r="A252" s="18"/>
      <c r="B252" s="21"/>
      <c r="L252" s="11"/>
    </row>
    <row r="253" spans="1:12" ht="15.75" customHeight="1">
      <c r="A253" s="18"/>
      <c r="B253" s="21"/>
      <c r="L253" s="11"/>
    </row>
    <row r="254" spans="1:12" ht="15.75" customHeight="1">
      <c r="A254" s="18"/>
      <c r="B254" s="21"/>
      <c r="L254" s="11"/>
    </row>
    <row r="255" spans="1:12" ht="15.75" customHeight="1">
      <c r="A255" s="18"/>
      <c r="B255" s="21"/>
      <c r="L255" s="11"/>
    </row>
    <row r="256" spans="1:12" ht="15.75" customHeight="1">
      <c r="A256" s="18"/>
      <c r="B256" s="21"/>
      <c r="L256" s="11"/>
    </row>
    <row r="257" spans="1:12" ht="15.75" customHeight="1">
      <c r="A257" s="18"/>
      <c r="B257" s="21"/>
      <c r="L257" s="11"/>
    </row>
    <row r="258" spans="1:12" ht="15.75" customHeight="1">
      <c r="A258" s="18"/>
      <c r="B258" s="21"/>
      <c r="L258" s="11"/>
    </row>
    <row r="259" spans="1:12" ht="15.75" customHeight="1">
      <c r="A259" s="18"/>
      <c r="B259" s="21"/>
      <c r="L259" s="11"/>
    </row>
    <row r="260" spans="1:12" ht="15.75" customHeight="1">
      <c r="A260" s="18"/>
      <c r="B260" s="21"/>
      <c r="L260" s="11"/>
    </row>
    <row r="261" spans="1:12" ht="15.75" customHeight="1">
      <c r="A261" s="18"/>
      <c r="B261" s="21"/>
      <c r="L261" s="11"/>
    </row>
    <row r="262" spans="1:12" ht="15.75" customHeight="1">
      <c r="A262" s="18"/>
      <c r="B262" s="21"/>
      <c r="L262" s="11"/>
    </row>
    <row r="263" spans="1:12" ht="15.75" customHeight="1">
      <c r="A263" s="18"/>
      <c r="B263" s="21"/>
      <c r="L263" s="11"/>
    </row>
    <row r="264" spans="1:12" ht="15.75" customHeight="1">
      <c r="A264" s="18"/>
      <c r="B264" s="21"/>
      <c r="L264" s="11"/>
    </row>
    <row r="265" spans="1:12" ht="15.75" customHeight="1">
      <c r="A265" s="18"/>
      <c r="B265" s="21"/>
      <c r="L265" s="11"/>
    </row>
    <row r="266" spans="1:12" ht="15.75" customHeight="1">
      <c r="A266" s="18"/>
      <c r="B266" s="21"/>
      <c r="L266" s="11"/>
    </row>
    <row r="267" spans="1:12" ht="15.75" customHeight="1">
      <c r="A267" s="18"/>
      <c r="B267" s="21"/>
      <c r="L267" s="11"/>
    </row>
    <row r="268" spans="1:12" ht="15.75" customHeight="1">
      <c r="A268" s="18"/>
      <c r="B268" s="21"/>
      <c r="L268" s="11"/>
    </row>
    <row r="269" spans="1:12" ht="15.75" customHeight="1">
      <c r="A269" s="18"/>
      <c r="B269" s="21"/>
      <c r="L269" s="11"/>
    </row>
    <row r="270" spans="1:12" ht="15.75" customHeight="1">
      <c r="A270" s="18"/>
      <c r="B270" s="21"/>
      <c r="L270" s="11"/>
    </row>
    <row r="271" spans="1:12" ht="15.75" customHeight="1">
      <c r="A271" s="18"/>
      <c r="B271" s="21"/>
      <c r="L271" s="11"/>
    </row>
    <row r="272" spans="1:12" ht="15.75" customHeight="1">
      <c r="A272" s="18"/>
      <c r="B272" s="21"/>
      <c r="L272" s="11"/>
    </row>
    <row r="273" spans="1:12" ht="15.75" customHeight="1">
      <c r="A273" s="18"/>
      <c r="B273" s="21"/>
      <c r="L273" s="11"/>
    </row>
    <row r="274" spans="1:12" ht="15.75" customHeight="1">
      <c r="A274" s="18"/>
      <c r="B274" s="21"/>
      <c r="L274" s="11"/>
    </row>
    <row r="275" spans="1:12" ht="15.75" customHeight="1">
      <c r="A275" s="18"/>
      <c r="B275" s="21"/>
      <c r="L275" s="11"/>
    </row>
    <row r="276" spans="1:12" ht="15.75" customHeight="1">
      <c r="A276" s="18"/>
      <c r="B276" s="21"/>
      <c r="L276" s="11"/>
    </row>
    <row r="277" spans="1:12" ht="15.75" customHeight="1">
      <c r="A277" s="18"/>
      <c r="B277" s="21"/>
      <c r="L277" s="11"/>
    </row>
    <row r="278" spans="1:12" ht="15.75" customHeight="1">
      <c r="A278" s="18"/>
      <c r="B278" s="21"/>
      <c r="L278" s="11"/>
    </row>
    <row r="279" spans="1:12" ht="15.75" customHeight="1">
      <c r="A279" s="18"/>
      <c r="B279" s="21"/>
      <c r="L279" s="11"/>
    </row>
    <row r="280" spans="1:12" ht="15.75" customHeight="1">
      <c r="A280" s="18"/>
      <c r="B280" s="21"/>
      <c r="L280" s="11"/>
    </row>
    <row r="281" spans="1:12" ht="15.75" customHeight="1">
      <c r="A281" s="18"/>
      <c r="B281" s="21"/>
      <c r="L281" s="11"/>
    </row>
    <row r="282" spans="1:12" ht="15.75" customHeight="1">
      <c r="A282" s="18"/>
      <c r="B282" s="21"/>
      <c r="L282" s="11"/>
    </row>
    <row r="283" spans="1:12" ht="15.75" customHeight="1">
      <c r="A283" s="18"/>
      <c r="B283" s="21"/>
      <c r="L283" s="11"/>
    </row>
    <row r="284" spans="1:12" ht="15.75" customHeight="1">
      <c r="A284" s="18"/>
      <c r="B284" s="21"/>
      <c r="L284" s="11"/>
    </row>
    <row r="285" spans="1:12" ht="15.75" customHeight="1">
      <c r="A285" s="18"/>
      <c r="B285" s="21"/>
      <c r="L285" s="11"/>
    </row>
    <row r="286" spans="1:12" ht="15.75" customHeight="1">
      <c r="A286" s="18"/>
      <c r="B286" s="21"/>
      <c r="L286" s="11"/>
    </row>
    <row r="287" spans="1:12" ht="15.75" customHeight="1">
      <c r="A287" s="18"/>
      <c r="B287" s="21"/>
      <c r="L287" s="11"/>
    </row>
    <row r="288" spans="1:12" ht="15.75" customHeight="1">
      <c r="A288" s="18"/>
      <c r="B288" s="21"/>
      <c r="L288" s="11"/>
    </row>
    <row r="289" spans="1:12" ht="15.75" customHeight="1">
      <c r="A289" s="18"/>
      <c r="B289" s="21"/>
      <c r="L289" s="11"/>
    </row>
    <row r="290" spans="1:12" ht="15.75" customHeight="1">
      <c r="A290" s="18"/>
      <c r="B290" s="21"/>
      <c r="L290" s="11"/>
    </row>
    <row r="291" spans="1:12" ht="15.75" customHeight="1">
      <c r="A291" s="18"/>
      <c r="B291" s="21"/>
      <c r="L291" s="11"/>
    </row>
    <row r="292" spans="1:12" ht="15.75" customHeight="1">
      <c r="A292" s="18"/>
      <c r="B292" s="21"/>
      <c r="L292" s="11"/>
    </row>
    <row r="293" spans="1:12" ht="15.75" customHeight="1">
      <c r="A293" s="18"/>
      <c r="B293" s="21"/>
      <c r="L293" s="11"/>
    </row>
    <row r="294" spans="1:12" ht="15.75" customHeight="1">
      <c r="A294" s="18"/>
      <c r="B294" s="21"/>
      <c r="L294" s="11"/>
    </row>
    <row r="295" spans="1:12" ht="15.75" customHeight="1">
      <c r="A295" s="18"/>
      <c r="B295" s="21"/>
      <c r="L295" s="11"/>
    </row>
    <row r="296" spans="1:12" ht="15.75" customHeight="1">
      <c r="A296" s="18"/>
      <c r="B296" s="21"/>
      <c r="L296" s="11"/>
    </row>
    <row r="297" spans="1:12" ht="15.75" customHeight="1">
      <c r="A297" s="18"/>
      <c r="B297" s="21"/>
      <c r="L297" s="11"/>
    </row>
    <row r="298" spans="1:12" ht="15.75" customHeight="1">
      <c r="A298" s="18"/>
      <c r="B298" s="21"/>
      <c r="L298" s="11"/>
    </row>
    <row r="299" spans="1:12" ht="15.75" customHeight="1">
      <c r="A299" s="18"/>
      <c r="B299" s="21"/>
      <c r="L299" s="11"/>
    </row>
    <row r="300" spans="1:12" ht="15.75" customHeight="1">
      <c r="A300" s="18"/>
      <c r="B300" s="21"/>
      <c r="L300" s="11"/>
    </row>
    <row r="301" spans="1:12" ht="15.75" customHeight="1">
      <c r="A301" s="18"/>
      <c r="B301" s="21"/>
      <c r="L301" s="11"/>
    </row>
    <row r="302" spans="1:12" ht="15.75" customHeight="1">
      <c r="A302" s="18"/>
      <c r="B302" s="21"/>
      <c r="L302" s="11"/>
    </row>
    <row r="303" spans="1:12" ht="15.75" customHeight="1">
      <c r="A303" s="18"/>
      <c r="B303" s="21"/>
      <c r="L303" s="11"/>
    </row>
    <row r="304" spans="1:12" ht="15.75" customHeight="1">
      <c r="A304" s="18"/>
      <c r="B304" s="21"/>
      <c r="L304" s="11"/>
    </row>
    <row r="305" spans="1:12" ht="15.75" customHeight="1">
      <c r="A305" s="18"/>
      <c r="B305" s="21"/>
      <c r="L305" s="11"/>
    </row>
    <row r="306" spans="1:12" ht="15.75" customHeight="1">
      <c r="A306" s="18"/>
      <c r="B306" s="21"/>
      <c r="L306" s="11"/>
    </row>
    <row r="307" spans="1:12" ht="15.75" customHeight="1">
      <c r="A307" s="18"/>
      <c r="B307" s="21"/>
      <c r="L307" s="11"/>
    </row>
    <row r="308" spans="1:12" ht="15.75" customHeight="1">
      <c r="A308" s="18"/>
      <c r="B308" s="21"/>
      <c r="L308" s="11"/>
    </row>
    <row r="309" spans="1:12" ht="15.75" customHeight="1">
      <c r="A309" s="18"/>
      <c r="B309" s="21"/>
      <c r="L309" s="11"/>
    </row>
    <row r="310" spans="1:12" ht="15.75" customHeight="1">
      <c r="A310" s="18"/>
      <c r="B310" s="21"/>
      <c r="L310" s="11"/>
    </row>
    <row r="311" spans="1:12" ht="15.75" customHeight="1">
      <c r="A311" s="18"/>
      <c r="B311" s="21"/>
      <c r="L311" s="11"/>
    </row>
    <row r="312" spans="1:12" ht="15.75" customHeight="1">
      <c r="A312" s="18"/>
      <c r="B312" s="21"/>
      <c r="L312" s="11"/>
    </row>
    <row r="313" spans="1:12" ht="15.75" customHeight="1">
      <c r="A313" s="18"/>
      <c r="B313" s="21"/>
      <c r="L313" s="11"/>
    </row>
    <row r="314" spans="1:12" ht="15.75" customHeight="1">
      <c r="A314" s="18"/>
      <c r="B314" s="21"/>
      <c r="L314" s="11"/>
    </row>
    <row r="315" spans="1:12" ht="15.75" customHeight="1">
      <c r="A315" s="18"/>
      <c r="B315" s="21"/>
      <c r="L315" s="11"/>
    </row>
    <row r="316" spans="1:12" ht="15.75" customHeight="1">
      <c r="A316" s="18"/>
      <c r="B316" s="21"/>
      <c r="L316" s="11"/>
    </row>
    <row r="317" spans="1:12" ht="15.75" customHeight="1">
      <c r="A317" s="18"/>
      <c r="B317" s="21"/>
      <c r="L317" s="11"/>
    </row>
    <row r="318" spans="1:12" ht="15.75" customHeight="1">
      <c r="A318" s="18"/>
      <c r="B318" s="21"/>
      <c r="L318" s="11"/>
    </row>
    <row r="319" spans="1:12" ht="15.75" customHeight="1">
      <c r="A319" s="18"/>
      <c r="B319" s="21"/>
      <c r="L319" s="11"/>
    </row>
    <row r="320" spans="1:12" ht="15.75" customHeight="1">
      <c r="A320" s="18"/>
      <c r="B320" s="21"/>
      <c r="L320" s="11"/>
    </row>
    <row r="321" spans="1:12" ht="15.75" customHeight="1">
      <c r="A321" s="18"/>
      <c r="B321" s="21"/>
      <c r="L321" s="11"/>
    </row>
    <row r="322" spans="1:12" ht="15.75" customHeight="1">
      <c r="A322" s="18"/>
      <c r="B322" s="21"/>
      <c r="L322" s="11"/>
    </row>
    <row r="323" spans="1:12" ht="15.75" customHeight="1">
      <c r="A323" s="18"/>
      <c r="B323" s="21"/>
      <c r="L323" s="11"/>
    </row>
    <row r="324" spans="1:12" ht="15.75" customHeight="1">
      <c r="A324" s="18"/>
      <c r="B324" s="21"/>
      <c r="L324" s="11"/>
    </row>
    <row r="325" spans="1:12" ht="15.75" customHeight="1">
      <c r="A325" s="18"/>
      <c r="B325" s="21"/>
      <c r="L325" s="11"/>
    </row>
    <row r="326" spans="1:12" ht="15.75" customHeight="1">
      <c r="A326" s="18"/>
      <c r="B326" s="21"/>
      <c r="L326" s="11"/>
    </row>
    <row r="327" spans="1:12" ht="15.75" customHeight="1">
      <c r="A327" s="18"/>
      <c r="B327" s="21"/>
      <c r="L327" s="11"/>
    </row>
    <row r="328" spans="1:12" ht="15.75" customHeight="1">
      <c r="A328" s="18"/>
      <c r="B328" s="21"/>
      <c r="L328" s="11"/>
    </row>
    <row r="329" spans="1:12" ht="15.75" customHeight="1">
      <c r="A329" s="18"/>
      <c r="B329" s="21"/>
      <c r="L329" s="11"/>
    </row>
    <row r="330" spans="1:12" ht="15.75" customHeight="1">
      <c r="A330" s="18"/>
      <c r="B330" s="21"/>
      <c r="L330" s="11"/>
    </row>
    <row r="331" spans="1:12" ht="15.75" customHeight="1">
      <c r="A331" s="18"/>
      <c r="B331" s="21"/>
      <c r="L331" s="11"/>
    </row>
    <row r="332" spans="1:12" ht="15.75" customHeight="1">
      <c r="A332" s="18"/>
      <c r="B332" s="21"/>
      <c r="L332" s="11"/>
    </row>
    <row r="333" spans="1:12" ht="15.75" customHeight="1">
      <c r="A333" s="18"/>
      <c r="B333" s="21"/>
      <c r="L333" s="11"/>
    </row>
    <row r="334" spans="1:12" ht="15.75" customHeight="1">
      <c r="A334" s="18"/>
      <c r="B334" s="21"/>
      <c r="L334" s="11"/>
    </row>
    <row r="335" spans="1:12" ht="15.75" customHeight="1">
      <c r="A335" s="18"/>
      <c r="B335" s="21"/>
      <c r="L335" s="11"/>
    </row>
    <row r="336" spans="1:12" ht="15.75" customHeight="1">
      <c r="A336" s="18"/>
      <c r="B336" s="21"/>
      <c r="L336" s="11"/>
    </row>
    <row r="337" spans="1:12" ht="15.75" customHeight="1">
      <c r="A337" s="18"/>
      <c r="B337" s="21"/>
      <c r="L337" s="11"/>
    </row>
    <row r="338" spans="1:12" ht="15.75" customHeight="1">
      <c r="A338" s="18"/>
      <c r="B338" s="21"/>
      <c r="L338" s="11"/>
    </row>
    <row r="339" spans="1:12" ht="15.75" customHeight="1">
      <c r="A339" s="18"/>
      <c r="B339" s="21"/>
      <c r="L339" s="11"/>
    </row>
    <row r="340" spans="1:12" ht="15.75" customHeight="1">
      <c r="A340" s="18"/>
      <c r="B340" s="21"/>
      <c r="L340" s="11"/>
    </row>
    <row r="341" spans="1:12" ht="15.75" customHeight="1">
      <c r="A341" s="18"/>
      <c r="B341" s="21"/>
      <c r="L341" s="11"/>
    </row>
    <row r="342" spans="1:12" ht="15.75" customHeight="1">
      <c r="A342" s="18"/>
      <c r="B342" s="21"/>
      <c r="L342" s="11"/>
    </row>
    <row r="343" spans="1:12" ht="15.75" customHeight="1">
      <c r="A343" s="18"/>
      <c r="B343" s="21"/>
      <c r="L343" s="11"/>
    </row>
    <row r="344" spans="1:12" ht="15.75" customHeight="1">
      <c r="A344" s="18"/>
      <c r="B344" s="21"/>
      <c r="L344" s="11"/>
    </row>
    <row r="345" spans="1:12" ht="15.75" customHeight="1">
      <c r="A345" s="18"/>
      <c r="B345" s="21"/>
      <c r="L345" s="11"/>
    </row>
    <row r="346" spans="1:12" ht="15.75" customHeight="1">
      <c r="A346" s="18"/>
      <c r="B346" s="21"/>
      <c r="L346" s="11"/>
    </row>
    <row r="347" spans="1:12" ht="15.75" customHeight="1">
      <c r="A347" s="18"/>
      <c r="B347" s="21"/>
      <c r="L347" s="11"/>
    </row>
    <row r="348" spans="1:12" ht="15.75" customHeight="1">
      <c r="A348" s="18"/>
      <c r="B348" s="21"/>
      <c r="L348" s="11"/>
    </row>
    <row r="349" spans="1:12" ht="15.75" customHeight="1">
      <c r="A349" s="18"/>
      <c r="B349" s="21"/>
      <c r="L349" s="11"/>
    </row>
    <row r="350" spans="1:12" ht="15.75" customHeight="1">
      <c r="A350" s="18"/>
      <c r="B350" s="21"/>
      <c r="L350" s="11"/>
    </row>
    <row r="351" spans="1:12" ht="15.75" customHeight="1">
      <c r="A351" s="18"/>
      <c r="B351" s="21"/>
      <c r="L351" s="11"/>
    </row>
    <row r="352" spans="1:12" ht="15.75" customHeight="1">
      <c r="A352" s="18"/>
      <c r="B352" s="21"/>
      <c r="L352" s="11"/>
    </row>
    <row r="353" spans="1:12" ht="15.75" customHeight="1">
      <c r="A353" s="18"/>
      <c r="B353" s="21"/>
      <c r="L353" s="11"/>
    </row>
    <row r="354" spans="1:12" ht="15.75" customHeight="1">
      <c r="A354" s="18"/>
      <c r="B354" s="21"/>
      <c r="L354" s="11"/>
    </row>
    <row r="355" spans="1:12" ht="15.75" customHeight="1">
      <c r="A355" s="18"/>
      <c r="B355" s="21"/>
      <c r="L355" s="11"/>
    </row>
    <row r="356" spans="1:12" ht="15.75" customHeight="1">
      <c r="A356" s="18"/>
      <c r="B356" s="21"/>
      <c r="L356" s="11"/>
    </row>
    <row r="357" spans="1:12" ht="15.75" customHeight="1">
      <c r="A357" s="18"/>
      <c r="B357" s="21"/>
      <c r="L357" s="11"/>
    </row>
    <row r="358" spans="1:12" ht="15.75" customHeight="1">
      <c r="A358" s="18"/>
      <c r="B358" s="21"/>
      <c r="L358" s="11"/>
    </row>
    <row r="359" spans="1:12" ht="15.75" customHeight="1">
      <c r="A359" s="18"/>
      <c r="B359" s="21"/>
      <c r="L359" s="11"/>
    </row>
    <row r="360" spans="1:12" ht="15.75" customHeight="1">
      <c r="A360" s="18"/>
      <c r="B360" s="21"/>
      <c r="L360" s="11"/>
    </row>
    <row r="361" spans="1:12" ht="15.75" customHeight="1">
      <c r="A361" s="18"/>
      <c r="B361" s="21"/>
      <c r="L361" s="11"/>
    </row>
    <row r="362" spans="1:12" ht="15.75" customHeight="1">
      <c r="A362" s="18"/>
      <c r="B362" s="21"/>
      <c r="L362" s="11"/>
    </row>
    <row r="363" spans="1:12" ht="15.75" customHeight="1">
      <c r="A363" s="18"/>
      <c r="B363" s="21"/>
      <c r="L363" s="11"/>
    </row>
    <row r="364" spans="1:12" ht="15.75" customHeight="1">
      <c r="A364" s="18"/>
      <c r="B364" s="21"/>
      <c r="L364" s="11"/>
    </row>
    <row r="365" spans="1:12" ht="15.75" customHeight="1">
      <c r="A365" s="18"/>
      <c r="B365" s="21"/>
      <c r="L365" s="11"/>
    </row>
    <row r="366" spans="1:12" ht="15.75" customHeight="1">
      <c r="A366" s="18"/>
      <c r="B366" s="21"/>
      <c r="L366" s="11"/>
    </row>
    <row r="367" spans="1:12" ht="15.75" customHeight="1">
      <c r="A367" s="18"/>
      <c r="B367" s="21"/>
      <c r="L367" s="11"/>
    </row>
    <row r="368" spans="1:12" ht="15.75" customHeight="1">
      <c r="A368" s="18"/>
      <c r="B368" s="21"/>
      <c r="L368" s="11"/>
    </row>
    <row r="369" spans="1:12" ht="15.75" customHeight="1">
      <c r="A369" s="18"/>
      <c r="B369" s="21"/>
      <c r="L369" s="11"/>
    </row>
    <row r="370" spans="1:12" ht="15.75" customHeight="1">
      <c r="A370" s="18"/>
      <c r="B370" s="21"/>
      <c r="L370" s="11"/>
    </row>
    <row r="371" spans="1:12" ht="15.75" customHeight="1">
      <c r="A371" s="18"/>
      <c r="B371" s="21"/>
      <c r="L371" s="11"/>
    </row>
    <row r="372" spans="1:12" ht="15.75" customHeight="1">
      <c r="A372" s="18"/>
      <c r="B372" s="21"/>
      <c r="L372" s="11"/>
    </row>
    <row r="373" spans="1:12" ht="15.75" customHeight="1">
      <c r="A373" s="18"/>
      <c r="B373" s="21"/>
      <c r="L373" s="11"/>
    </row>
    <row r="374" spans="1:12" ht="15.75" customHeight="1">
      <c r="A374" s="18"/>
      <c r="B374" s="21"/>
      <c r="L374" s="11"/>
    </row>
    <row r="375" spans="1:12" ht="15.75" customHeight="1">
      <c r="A375" s="18"/>
      <c r="B375" s="21"/>
      <c r="L375" s="11"/>
    </row>
    <row r="376" spans="1:12" ht="15.75" customHeight="1">
      <c r="A376" s="18"/>
      <c r="B376" s="21"/>
      <c r="L376" s="11"/>
    </row>
    <row r="377" spans="1:12" ht="15.75" customHeight="1">
      <c r="A377" s="18"/>
      <c r="B377" s="21"/>
      <c r="L377" s="11"/>
    </row>
    <row r="378" spans="1:12" ht="15.75" customHeight="1">
      <c r="A378" s="18"/>
      <c r="B378" s="21"/>
      <c r="L378" s="11"/>
    </row>
    <row r="379" spans="1:12" ht="15.75" customHeight="1">
      <c r="A379" s="18"/>
      <c r="B379" s="21"/>
      <c r="L379" s="11"/>
    </row>
    <row r="380" spans="1:12" ht="15.75" customHeight="1">
      <c r="A380" s="18"/>
      <c r="B380" s="21"/>
      <c r="L380" s="11"/>
    </row>
    <row r="381" spans="1:12" ht="15.75" customHeight="1">
      <c r="A381" s="18"/>
      <c r="B381" s="21"/>
      <c r="L381" s="11"/>
    </row>
    <row r="382" spans="1:12" ht="15.75" customHeight="1">
      <c r="A382" s="18"/>
      <c r="B382" s="21"/>
      <c r="L382" s="11"/>
    </row>
    <row r="383" spans="1:12" ht="15.75" customHeight="1">
      <c r="A383" s="18"/>
      <c r="B383" s="21"/>
      <c r="L383" s="11"/>
    </row>
    <row r="384" spans="1:12" ht="15.75" customHeight="1">
      <c r="A384" s="18"/>
      <c r="B384" s="21"/>
      <c r="L384" s="11"/>
    </row>
    <row r="385" spans="1:12" ht="15.75" customHeight="1">
      <c r="A385" s="18"/>
      <c r="B385" s="21"/>
      <c r="L385" s="11"/>
    </row>
    <row r="386" spans="1:12" ht="15.75" customHeight="1">
      <c r="A386" s="18"/>
      <c r="B386" s="21"/>
      <c r="L386" s="11"/>
    </row>
    <row r="387" spans="1:12" ht="15.75" customHeight="1">
      <c r="A387" s="18"/>
      <c r="B387" s="21"/>
      <c r="L387" s="11"/>
    </row>
    <row r="388" spans="1:12" ht="15.75" customHeight="1">
      <c r="A388" s="18"/>
      <c r="B388" s="21"/>
      <c r="L388" s="11"/>
    </row>
    <row r="389" spans="1:12" ht="15.75" customHeight="1">
      <c r="A389" s="18"/>
      <c r="B389" s="21"/>
      <c r="L389" s="11"/>
    </row>
    <row r="390" spans="1:12" ht="15.75" customHeight="1">
      <c r="A390" s="18"/>
      <c r="B390" s="21"/>
      <c r="L390" s="11"/>
    </row>
    <row r="391" spans="1:12" ht="15.75" customHeight="1">
      <c r="A391" s="18"/>
      <c r="B391" s="21"/>
      <c r="L391" s="11"/>
    </row>
    <row r="392" spans="1:12" ht="15.75" customHeight="1">
      <c r="A392" s="18"/>
      <c r="B392" s="21"/>
      <c r="L392" s="11"/>
    </row>
    <row r="393" spans="1:12" ht="15.75" customHeight="1">
      <c r="A393" s="18"/>
      <c r="B393" s="21"/>
      <c r="L393" s="11"/>
    </row>
    <row r="394" spans="1:12" ht="15.75" customHeight="1">
      <c r="A394" s="18"/>
      <c r="B394" s="21"/>
      <c r="L394" s="11"/>
    </row>
    <row r="395" spans="1:12" ht="15.75" customHeight="1">
      <c r="A395" s="18"/>
      <c r="B395" s="21"/>
      <c r="L395" s="11"/>
    </row>
    <row r="396" spans="1:12" ht="15.75" customHeight="1">
      <c r="A396" s="18"/>
      <c r="B396" s="21"/>
      <c r="L396" s="11"/>
    </row>
    <row r="397" spans="1:12" ht="15.75" customHeight="1">
      <c r="A397" s="18"/>
      <c r="B397" s="21"/>
      <c r="L397" s="11"/>
    </row>
    <row r="398" spans="1:12" ht="15.75" customHeight="1">
      <c r="A398" s="18"/>
      <c r="B398" s="21"/>
      <c r="L398" s="11"/>
    </row>
    <row r="399" spans="1:12" ht="15.75" customHeight="1">
      <c r="A399" s="18"/>
      <c r="B399" s="21"/>
      <c r="L399" s="11"/>
    </row>
    <row r="400" spans="1:12" ht="15.75" customHeight="1">
      <c r="A400" s="18"/>
      <c r="B400" s="21"/>
      <c r="L400" s="11"/>
    </row>
    <row r="401" spans="1:12" ht="15.75" customHeight="1">
      <c r="A401" s="18"/>
      <c r="B401" s="21"/>
      <c r="L401" s="11"/>
    </row>
    <row r="402" spans="1:12" ht="15.75" customHeight="1">
      <c r="A402" s="18"/>
      <c r="B402" s="21"/>
      <c r="L402" s="11"/>
    </row>
    <row r="403" spans="1:12" ht="15.75" customHeight="1">
      <c r="A403" s="18"/>
      <c r="B403" s="21"/>
      <c r="L403" s="11"/>
    </row>
    <row r="404" spans="1:12" ht="15.75" customHeight="1">
      <c r="A404" s="18"/>
      <c r="B404" s="21"/>
      <c r="L404" s="11"/>
    </row>
    <row r="405" spans="1:12" ht="15.75" customHeight="1">
      <c r="A405" s="18"/>
      <c r="B405" s="21"/>
      <c r="L405" s="11"/>
    </row>
    <row r="406" spans="1:12" ht="15.75" customHeight="1">
      <c r="A406" s="18"/>
      <c r="B406" s="21"/>
      <c r="L406" s="11"/>
    </row>
    <row r="407" spans="1:12" ht="15.75" customHeight="1">
      <c r="A407" s="18"/>
      <c r="B407" s="21"/>
      <c r="L407" s="11"/>
    </row>
    <row r="408" spans="1:12" ht="15.75" customHeight="1">
      <c r="A408" s="18"/>
      <c r="B408" s="21"/>
      <c r="L408" s="11"/>
    </row>
    <row r="409" spans="1:12" ht="15.75" customHeight="1">
      <c r="A409" s="18"/>
      <c r="B409" s="21"/>
      <c r="L409" s="11"/>
    </row>
    <row r="410" spans="1:12" ht="15.75" customHeight="1">
      <c r="A410" s="18"/>
      <c r="B410" s="21"/>
      <c r="L410" s="11"/>
    </row>
    <row r="411" spans="1:12" ht="15.75" customHeight="1">
      <c r="A411" s="18"/>
      <c r="B411" s="21"/>
      <c r="L411" s="11"/>
    </row>
    <row r="412" spans="1:12" ht="15.75" customHeight="1">
      <c r="A412" s="18"/>
      <c r="B412" s="21"/>
      <c r="L412" s="11"/>
    </row>
    <row r="413" spans="1:12" ht="15.75" customHeight="1">
      <c r="A413" s="18"/>
      <c r="B413" s="21"/>
      <c r="L413" s="11"/>
    </row>
    <row r="414" spans="1:12" ht="15.75" customHeight="1">
      <c r="A414" s="18"/>
      <c r="B414" s="21"/>
      <c r="L414" s="11"/>
    </row>
    <row r="415" spans="1:12" ht="15.75" customHeight="1">
      <c r="A415" s="18"/>
      <c r="B415" s="21"/>
      <c r="L415" s="11"/>
    </row>
    <row r="416" spans="1:12" ht="15.75" customHeight="1">
      <c r="A416" s="18"/>
      <c r="B416" s="21"/>
      <c r="L416" s="11"/>
    </row>
    <row r="417" spans="1:12" ht="15.75" customHeight="1">
      <c r="A417" s="18"/>
      <c r="B417" s="21"/>
      <c r="L417" s="11"/>
    </row>
    <row r="418" spans="1:12" ht="15.75" customHeight="1">
      <c r="A418" s="18"/>
      <c r="B418" s="21"/>
      <c r="L418" s="11"/>
    </row>
    <row r="419" spans="1:12" ht="15.75" customHeight="1">
      <c r="A419" s="18"/>
      <c r="B419" s="21"/>
      <c r="L419" s="11"/>
    </row>
    <row r="420" spans="1:12" ht="15.75" customHeight="1">
      <c r="A420" s="18"/>
      <c r="B420" s="21"/>
      <c r="L420" s="11"/>
    </row>
    <row r="421" spans="1:12" ht="15.75" customHeight="1">
      <c r="A421" s="18"/>
      <c r="B421" s="21"/>
      <c r="L421" s="11"/>
    </row>
    <row r="422" spans="1:12" ht="15.75" customHeight="1">
      <c r="A422" s="18"/>
      <c r="B422" s="21"/>
      <c r="L422" s="11"/>
    </row>
    <row r="423" spans="1:12" ht="15.75" customHeight="1">
      <c r="A423" s="18"/>
      <c r="B423" s="21"/>
      <c r="L423" s="11"/>
    </row>
    <row r="424" spans="1:12" ht="15.75" customHeight="1">
      <c r="A424" s="18"/>
      <c r="B424" s="21"/>
      <c r="L424" s="11"/>
    </row>
    <row r="425" spans="1:12" ht="15.75" customHeight="1">
      <c r="A425" s="18"/>
      <c r="B425" s="21"/>
      <c r="L425" s="11"/>
    </row>
    <row r="426" spans="1:12" ht="15.75" customHeight="1">
      <c r="A426" s="18"/>
      <c r="B426" s="21"/>
      <c r="L426" s="11"/>
    </row>
    <row r="427" spans="1:12" ht="15.75" customHeight="1">
      <c r="A427" s="18"/>
      <c r="B427" s="21"/>
      <c r="L427" s="11"/>
    </row>
    <row r="428" spans="1:12" ht="15.75" customHeight="1">
      <c r="A428" s="18"/>
      <c r="B428" s="21"/>
      <c r="L428" s="11"/>
    </row>
    <row r="429" spans="1:12" ht="15.75" customHeight="1">
      <c r="A429" s="18"/>
      <c r="B429" s="21"/>
      <c r="L429" s="11"/>
    </row>
    <row r="430" spans="1:12" ht="15.75" customHeight="1">
      <c r="A430" s="18"/>
      <c r="B430" s="21"/>
      <c r="L430" s="11"/>
    </row>
    <row r="431" spans="1:12" ht="15.75" customHeight="1">
      <c r="A431" s="18"/>
      <c r="B431" s="21"/>
      <c r="L431" s="11"/>
    </row>
    <row r="432" spans="1:12" ht="15.75" customHeight="1">
      <c r="A432" s="18"/>
      <c r="B432" s="21"/>
      <c r="L432" s="11"/>
    </row>
    <row r="433" spans="1:12" ht="15.75" customHeight="1">
      <c r="A433" s="18"/>
      <c r="B433" s="21"/>
      <c r="L433" s="11"/>
    </row>
    <row r="434" spans="1:12" ht="15.75" customHeight="1">
      <c r="A434" s="18"/>
      <c r="B434" s="21"/>
      <c r="L434" s="11"/>
    </row>
    <row r="435" spans="1:12" ht="15.75" customHeight="1">
      <c r="A435" s="18"/>
      <c r="B435" s="21"/>
      <c r="L435" s="11"/>
    </row>
    <row r="436" spans="1:12" ht="15.75" customHeight="1">
      <c r="A436" s="18"/>
      <c r="B436" s="21"/>
      <c r="L436" s="11"/>
    </row>
    <row r="437" spans="1:12" ht="15.75" customHeight="1">
      <c r="A437" s="18"/>
      <c r="B437" s="21"/>
      <c r="L437" s="11"/>
    </row>
    <row r="438" spans="1:12" ht="15.75" customHeight="1">
      <c r="A438" s="18"/>
      <c r="B438" s="21"/>
      <c r="L438" s="11"/>
    </row>
    <row r="439" spans="1:12" ht="15.75" customHeight="1">
      <c r="A439" s="18"/>
      <c r="B439" s="21"/>
      <c r="L439" s="11"/>
    </row>
    <row r="440" spans="1:12" ht="15.75" customHeight="1">
      <c r="A440" s="18"/>
      <c r="B440" s="21"/>
      <c r="L440" s="11"/>
    </row>
    <row r="441" spans="1:12" ht="15.75" customHeight="1">
      <c r="A441" s="18"/>
      <c r="B441" s="21"/>
      <c r="L441" s="11"/>
    </row>
    <row r="442" spans="1:12" ht="15.75" customHeight="1">
      <c r="A442" s="18"/>
      <c r="B442" s="21"/>
      <c r="L442" s="11"/>
    </row>
    <row r="443" spans="1:12" ht="15.75" customHeight="1">
      <c r="A443" s="18"/>
      <c r="B443" s="21"/>
      <c r="L443" s="11"/>
    </row>
    <row r="444" spans="1:12" ht="15.75" customHeight="1">
      <c r="A444" s="18"/>
      <c r="B444" s="21"/>
      <c r="L444" s="11"/>
    </row>
    <row r="445" spans="1:12" ht="15.75" customHeight="1">
      <c r="A445" s="18"/>
      <c r="B445" s="21"/>
      <c r="L445" s="11"/>
    </row>
    <row r="446" spans="1:12" ht="15.75" customHeight="1">
      <c r="A446" s="18"/>
      <c r="B446" s="21"/>
      <c r="L446" s="11"/>
    </row>
    <row r="447" spans="1:12" ht="15.75" customHeight="1">
      <c r="A447" s="18"/>
      <c r="B447" s="21"/>
      <c r="L447" s="11"/>
    </row>
    <row r="448" spans="1:12" ht="15.75" customHeight="1">
      <c r="A448" s="18"/>
      <c r="B448" s="21"/>
      <c r="L448" s="11"/>
    </row>
    <row r="449" spans="1:12" ht="15.75" customHeight="1">
      <c r="A449" s="18"/>
      <c r="B449" s="21"/>
      <c r="L449" s="11"/>
    </row>
    <row r="450" spans="1:12" ht="15.75" customHeight="1">
      <c r="A450" s="18"/>
      <c r="B450" s="21"/>
      <c r="L450" s="11"/>
    </row>
    <row r="451" spans="1:12" ht="15.75" customHeight="1">
      <c r="A451" s="18"/>
      <c r="B451" s="21"/>
      <c r="L451" s="11"/>
    </row>
    <row r="452" spans="1:12" ht="15.75" customHeight="1">
      <c r="A452" s="18"/>
      <c r="B452" s="21"/>
      <c r="L452" s="11"/>
    </row>
    <row r="453" spans="1:12" ht="15.75" customHeight="1">
      <c r="A453" s="18"/>
      <c r="B453" s="21"/>
      <c r="L453" s="11"/>
    </row>
    <row r="454" spans="1:12" ht="15.75" customHeight="1">
      <c r="A454" s="18"/>
      <c r="B454" s="21"/>
      <c r="L454" s="11"/>
    </row>
    <row r="455" spans="1:12" ht="15.75" customHeight="1">
      <c r="A455" s="18"/>
      <c r="B455" s="21"/>
      <c r="L455" s="11"/>
    </row>
    <row r="456" spans="1:12" ht="15.75" customHeight="1">
      <c r="A456" s="18"/>
      <c r="B456" s="21"/>
      <c r="L456" s="11"/>
    </row>
    <row r="457" spans="1:12" ht="15.75" customHeight="1">
      <c r="A457" s="18"/>
      <c r="B457" s="21"/>
      <c r="L457" s="11"/>
    </row>
    <row r="458" spans="1:12" ht="15.75" customHeight="1">
      <c r="A458" s="18"/>
      <c r="B458" s="21"/>
      <c r="L458" s="11"/>
    </row>
    <row r="459" spans="1:12" ht="15.75" customHeight="1">
      <c r="A459" s="18"/>
      <c r="B459" s="21"/>
      <c r="L459" s="11"/>
    </row>
    <row r="460" spans="1:12" ht="15.75" customHeight="1">
      <c r="A460" s="18"/>
      <c r="B460" s="21"/>
      <c r="L460" s="11"/>
    </row>
    <row r="461" spans="1:12" ht="15.75" customHeight="1">
      <c r="A461" s="18"/>
      <c r="B461" s="21"/>
      <c r="L461" s="11"/>
    </row>
    <row r="462" spans="1:12" ht="15.75" customHeight="1">
      <c r="A462" s="18"/>
      <c r="B462" s="21"/>
      <c r="L462" s="11"/>
    </row>
    <row r="463" spans="1:12" ht="15.75" customHeight="1">
      <c r="A463" s="18"/>
      <c r="B463" s="21"/>
      <c r="L463" s="11"/>
    </row>
    <row r="464" spans="1:12" ht="15.75" customHeight="1">
      <c r="A464" s="18"/>
      <c r="B464" s="21"/>
      <c r="L464" s="11"/>
    </row>
    <row r="465" spans="1:12" ht="15.75" customHeight="1">
      <c r="A465" s="18"/>
      <c r="B465" s="21"/>
      <c r="L465" s="11"/>
    </row>
    <row r="466" spans="1:12" ht="15.75" customHeight="1">
      <c r="A466" s="18"/>
      <c r="B466" s="21"/>
      <c r="L466" s="11"/>
    </row>
    <row r="467" spans="1:12" ht="15.75" customHeight="1">
      <c r="A467" s="18"/>
      <c r="B467" s="21"/>
      <c r="L467" s="11"/>
    </row>
    <row r="468" spans="1:12" ht="15.75" customHeight="1">
      <c r="A468" s="18"/>
      <c r="B468" s="21"/>
      <c r="L468" s="11"/>
    </row>
    <row r="469" spans="1:12" ht="15.75" customHeight="1">
      <c r="A469" s="18"/>
      <c r="B469" s="21"/>
      <c r="L469" s="11"/>
    </row>
    <row r="470" spans="1:12" ht="15.75" customHeight="1">
      <c r="A470" s="18"/>
      <c r="B470" s="21"/>
      <c r="L470" s="11"/>
    </row>
    <row r="471" spans="1:12" ht="15.75" customHeight="1">
      <c r="A471" s="18"/>
      <c r="B471" s="21"/>
      <c r="L471" s="11"/>
    </row>
    <row r="472" spans="1:12" ht="15.75" customHeight="1">
      <c r="A472" s="18"/>
      <c r="B472" s="21"/>
      <c r="L472" s="11"/>
    </row>
    <row r="473" spans="1:12" ht="15.75" customHeight="1">
      <c r="A473" s="18"/>
      <c r="B473" s="21"/>
      <c r="L473" s="11"/>
    </row>
    <row r="474" spans="1:12" ht="15.75" customHeight="1">
      <c r="A474" s="18"/>
      <c r="B474" s="21"/>
      <c r="L474" s="11"/>
    </row>
    <row r="475" spans="1:12" ht="15.75" customHeight="1">
      <c r="A475" s="18"/>
      <c r="B475" s="21"/>
      <c r="L475" s="11"/>
    </row>
    <row r="476" spans="1:12" ht="15.75" customHeight="1">
      <c r="A476" s="18"/>
      <c r="B476" s="21"/>
      <c r="L476" s="11"/>
    </row>
    <row r="477" spans="1:12" ht="15.75" customHeight="1">
      <c r="A477" s="18"/>
      <c r="B477" s="21"/>
      <c r="L477" s="11"/>
    </row>
    <row r="478" spans="1:12" ht="15.75" customHeight="1">
      <c r="A478" s="18"/>
      <c r="B478" s="21"/>
      <c r="L478" s="11"/>
    </row>
    <row r="479" spans="1:12" ht="15.75" customHeight="1">
      <c r="A479" s="18"/>
      <c r="B479" s="21"/>
      <c r="L479" s="11"/>
    </row>
    <row r="480" spans="1:12" ht="15.75" customHeight="1">
      <c r="A480" s="18"/>
      <c r="B480" s="21"/>
      <c r="L480" s="11"/>
    </row>
    <row r="481" spans="1:12" ht="15.75" customHeight="1">
      <c r="A481" s="18"/>
      <c r="B481" s="21"/>
      <c r="L481" s="11"/>
    </row>
    <row r="482" spans="1:12" ht="15.75" customHeight="1">
      <c r="A482" s="18"/>
      <c r="B482" s="21"/>
      <c r="L482" s="11"/>
    </row>
    <row r="483" spans="1:12" ht="15.75" customHeight="1">
      <c r="A483" s="18"/>
      <c r="B483" s="21"/>
      <c r="L483" s="11"/>
    </row>
    <row r="484" spans="1:12" ht="15.75" customHeight="1">
      <c r="A484" s="18"/>
      <c r="B484" s="21"/>
      <c r="L484" s="11"/>
    </row>
    <row r="485" spans="1:12" ht="15.75" customHeight="1">
      <c r="A485" s="18"/>
      <c r="B485" s="21"/>
      <c r="L485" s="11"/>
    </row>
    <row r="486" spans="1:12" ht="15.75" customHeight="1">
      <c r="A486" s="18"/>
      <c r="B486" s="21"/>
      <c r="L486" s="11"/>
    </row>
    <row r="487" spans="1:12" ht="15.75" customHeight="1">
      <c r="A487" s="18"/>
      <c r="B487" s="21"/>
      <c r="L487" s="11"/>
    </row>
    <row r="488" spans="1:12" ht="15.75" customHeight="1">
      <c r="A488" s="18"/>
      <c r="B488" s="21"/>
      <c r="L488" s="11"/>
    </row>
    <row r="489" spans="1:12" ht="15.75" customHeight="1">
      <c r="A489" s="18"/>
      <c r="B489" s="21"/>
      <c r="L489" s="11"/>
    </row>
    <row r="490" spans="1:12" ht="15.75" customHeight="1">
      <c r="A490" s="18"/>
      <c r="B490" s="21"/>
      <c r="L490" s="11"/>
    </row>
    <row r="491" spans="1:12" ht="15.75" customHeight="1">
      <c r="A491" s="18"/>
      <c r="B491" s="21"/>
      <c r="L491" s="11"/>
    </row>
    <row r="492" spans="1:12" ht="15.75" customHeight="1">
      <c r="A492" s="18"/>
      <c r="B492" s="21"/>
      <c r="L492" s="11"/>
    </row>
    <row r="493" spans="1:12" ht="15.75" customHeight="1">
      <c r="A493" s="18"/>
      <c r="B493" s="21"/>
      <c r="L493" s="11"/>
    </row>
    <row r="494" spans="1:12" ht="15.75" customHeight="1">
      <c r="A494" s="18"/>
      <c r="B494" s="21"/>
      <c r="L494" s="11"/>
    </row>
    <row r="495" spans="1:12" ht="15.75" customHeight="1">
      <c r="A495" s="18"/>
      <c r="B495" s="21"/>
      <c r="L495" s="11"/>
    </row>
    <row r="496" spans="1:12" ht="15.75" customHeight="1">
      <c r="A496" s="18"/>
      <c r="B496" s="21"/>
      <c r="L496" s="11"/>
    </row>
    <row r="497" spans="1:12" ht="15.75" customHeight="1">
      <c r="A497" s="18"/>
      <c r="B497" s="21"/>
      <c r="L497" s="11"/>
    </row>
    <row r="498" spans="1:12" ht="15.75" customHeight="1">
      <c r="A498" s="18"/>
      <c r="B498" s="21"/>
      <c r="L498" s="11"/>
    </row>
    <row r="499" spans="1:12" ht="15.75" customHeight="1">
      <c r="A499" s="18"/>
      <c r="B499" s="21"/>
      <c r="L499" s="11"/>
    </row>
    <row r="500" spans="1:12" ht="15.75" customHeight="1">
      <c r="A500" s="18"/>
      <c r="B500" s="21"/>
      <c r="L500" s="11"/>
    </row>
    <row r="501" spans="1:12" ht="15.75" customHeight="1">
      <c r="A501" s="18"/>
      <c r="B501" s="21"/>
      <c r="L501" s="11"/>
    </row>
    <row r="502" spans="1:12" ht="15.75" customHeight="1">
      <c r="A502" s="18"/>
      <c r="B502" s="21"/>
      <c r="L502" s="11"/>
    </row>
    <row r="503" spans="1:12" ht="15.75" customHeight="1">
      <c r="A503" s="18"/>
      <c r="B503" s="21"/>
      <c r="L503" s="11"/>
    </row>
    <row r="504" spans="1:12" ht="15.75" customHeight="1">
      <c r="A504" s="18"/>
      <c r="B504" s="21"/>
      <c r="L504" s="11"/>
    </row>
    <row r="505" spans="1:12" ht="15.75" customHeight="1">
      <c r="A505" s="18"/>
      <c r="B505" s="21"/>
      <c r="L505" s="11"/>
    </row>
    <row r="506" spans="1:12" ht="15.75" customHeight="1">
      <c r="A506" s="18"/>
      <c r="B506" s="21"/>
      <c r="L506" s="11"/>
    </row>
    <row r="507" spans="1:12" ht="15.75" customHeight="1">
      <c r="A507" s="18"/>
      <c r="B507" s="21"/>
      <c r="L507" s="11"/>
    </row>
    <row r="508" spans="1:12" ht="15.75" customHeight="1">
      <c r="A508" s="18"/>
      <c r="B508" s="21"/>
      <c r="L508" s="11"/>
    </row>
    <row r="509" spans="1:12" ht="15.75" customHeight="1">
      <c r="A509" s="18"/>
      <c r="B509" s="21"/>
      <c r="L509" s="11"/>
    </row>
    <row r="510" spans="1:12" ht="15.75" customHeight="1">
      <c r="A510" s="18"/>
      <c r="B510" s="21"/>
      <c r="L510" s="11"/>
    </row>
    <row r="511" spans="1:12" ht="15.75" customHeight="1">
      <c r="A511" s="18"/>
      <c r="B511" s="21"/>
      <c r="L511" s="11"/>
    </row>
    <row r="512" spans="1:12" ht="15.75" customHeight="1">
      <c r="A512" s="18"/>
      <c r="B512" s="21"/>
      <c r="L512" s="11"/>
    </row>
    <row r="513" spans="1:12" ht="15.75" customHeight="1">
      <c r="A513" s="18"/>
      <c r="B513" s="21"/>
      <c r="L513" s="11"/>
    </row>
    <row r="514" spans="1:12" ht="15.75" customHeight="1">
      <c r="A514" s="18"/>
      <c r="B514" s="21"/>
      <c r="L514" s="11"/>
    </row>
    <row r="515" spans="1:12" ht="15.75" customHeight="1">
      <c r="A515" s="18"/>
      <c r="B515" s="21"/>
      <c r="L515" s="11"/>
    </row>
    <row r="516" spans="1:12" ht="15.75" customHeight="1">
      <c r="A516" s="18"/>
      <c r="B516" s="21"/>
      <c r="L516" s="11"/>
    </row>
    <row r="517" spans="1:12" ht="15.75" customHeight="1">
      <c r="A517" s="18"/>
      <c r="B517" s="21"/>
      <c r="L517" s="11"/>
    </row>
    <row r="518" spans="1:12" ht="15.75" customHeight="1">
      <c r="A518" s="18"/>
      <c r="B518" s="21"/>
      <c r="L518" s="11"/>
    </row>
    <row r="519" spans="1:12" ht="15.75" customHeight="1">
      <c r="A519" s="18"/>
      <c r="B519" s="21"/>
      <c r="L519" s="11"/>
    </row>
    <row r="520" spans="1:12" ht="15.75" customHeight="1">
      <c r="A520" s="18"/>
      <c r="B520" s="21"/>
      <c r="L520" s="11"/>
    </row>
    <row r="521" spans="1:12" ht="15.75" customHeight="1">
      <c r="A521" s="18"/>
      <c r="B521" s="21"/>
      <c r="L521" s="11"/>
    </row>
    <row r="522" spans="1:12" ht="15.75" customHeight="1">
      <c r="A522" s="18"/>
      <c r="B522" s="21"/>
      <c r="L522" s="11"/>
    </row>
    <row r="523" spans="1:12" ht="15.75" customHeight="1">
      <c r="A523" s="18"/>
      <c r="B523" s="21"/>
      <c r="L523" s="11"/>
    </row>
    <row r="524" spans="1:12" ht="15.75" customHeight="1">
      <c r="A524" s="18"/>
      <c r="B524" s="21"/>
      <c r="L524" s="11"/>
    </row>
    <row r="525" spans="1:12" ht="15.75" customHeight="1">
      <c r="A525" s="18"/>
      <c r="B525" s="21"/>
      <c r="L525" s="11"/>
    </row>
    <row r="526" spans="1:12" ht="15.75" customHeight="1">
      <c r="A526" s="18"/>
      <c r="B526" s="21"/>
      <c r="L526" s="11"/>
    </row>
    <row r="527" spans="1:12" ht="15.75" customHeight="1">
      <c r="A527" s="18"/>
      <c r="B527" s="21"/>
      <c r="L527" s="11"/>
    </row>
    <row r="528" spans="1:12" ht="15.75" customHeight="1">
      <c r="A528" s="18"/>
      <c r="B528" s="21"/>
      <c r="L528" s="11"/>
    </row>
    <row r="529" spans="1:12" ht="15.75" customHeight="1">
      <c r="A529" s="18"/>
      <c r="B529" s="21"/>
      <c r="L529" s="11"/>
    </row>
    <row r="530" spans="1:12" ht="15.75" customHeight="1">
      <c r="A530" s="18"/>
      <c r="B530" s="21"/>
      <c r="L530" s="11"/>
    </row>
    <row r="531" spans="1:12" ht="15.75" customHeight="1">
      <c r="A531" s="18"/>
      <c r="B531" s="21"/>
      <c r="L531" s="11"/>
    </row>
    <row r="532" spans="1:12" ht="15.75" customHeight="1">
      <c r="A532" s="18"/>
      <c r="B532" s="21"/>
      <c r="L532" s="11"/>
    </row>
    <row r="533" spans="1:12" ht="15.75" customHeight="1">
      <c r="A533" s="18"/>
      <c r="B533" s="21"/>
      <c r="L533" s="11"/>
    </row>
    <row r="534" spans="1:12" ht="15.75" customHeight="1">
      <c r="A534" s="18"/>
      <c r="B534" s="21"/>
      <c r="L534" s="11"/>
    </row>
    <row r="535" spans="1:12" ht="15.75" customHeight="1">
      <c r="A535" s="18"/>
      <c r="B535" s="21"/>
      <c r="L535" s="11"/>
    </row>
    <row r="536" spans="1:12" ht="15.75" customHeight="1">
      <c r="A536" s="18"/>
      <c r="B536" s="21"/>
      <c r="L536" s="11"/>
    </row>
    <row r="537" spans="1:12" ht="15.75" customHeight="1">
      <c r="A537" s="18"/>
      <c r="B537" s="21"/>
      <c r="L537" s="11"/>
    </row>
    <row r="538" spans="1:12" ht="15.75" customHeight="1">
      <c r="A538" s="18"/>
      <c r="B538" s="21"/>
      <c r="L538" s="11"/>
    </row>
    <row r="539" spans="1:12" ht="15.75" customHeight="1">
      <c r="A539" s="18"/>
      <c r="B539" s="21"/>
      <c r="L539" s="11"/>
    </row>
    <row r="540" spans="1:12" ht="15.75" customHeight="1">
      <c r="A540" s="18"/>
      <c r="B540" s="21"/>
      <c r="L540" s="11"/>
    </row>
    <row r="541" spans="1:12" ht="15.75" customHeight="1">
      <c r="A541" s="18"/>
      <c r="B541" s="21"/>
      <c r="L541" s="11"/>
    </row>
    <row r="542" spans="1:12" ht="15.75" customHeight="1">
      <c r="A542" s="18"/>
      <c r="B542" s="21"/>
      <c r="L542" s="11"/>
    </row>
    <row r="543" spans="1:12" ht="15.75" customHeight="1">
      <c r="A543" s="18"/>
      <c r="B543" s="21"/>
      <c r="L543" s="11"/>
    </row>
    <row r="544" spans="1:12" ht="15.75" customHeight="1">
      <c r="A544" s="18"/>
      <c r="B544" s="21"/>
      <c r="L544" s="11"/>
    </row>
    <row r="545" spans="1:12" ht="15.75" customHeight="1">
      <c r="A545" s="18"/>
      <c r="B545" s="21"/>
      <c r="L545" s="11"/>
    </row>
    <row r="546" spans="1:12" ht="15.75" customHeight="1">
      <c r="A546" s="18"/>
      <c r="B546" s="21"/>
      <c r="L546" s="11"/>
    </row>
    <row r="547" spans="1:12" ht="15.75" customHeight="1">
      <c r="A547" s="18"/>
      <c r="B547" s="21"/>
      <c r="L547" s="11"/>
    </row>
    <row r="548" spans="1:12" ht="15.75" customHeight="1">
      <c r="A548" s="18"/>
      <c r="B548" s="21"/>
      <c r="L548" s="11"/>
    </row>
    <row r="549" spans="1:12" ht="15.75" customHeight="1">
      <c r="A549" s="18"/>
      <c r="B549" s="21"/>
      <c r="L549" s="11"/>
    </row>
    <row r="550" spans="1:12" ht="15.75" customHeight="1">
      <c r="A550" s="18"/>
      <c r="B550" s="21"/>
      <c r="L550" s="11"/>
    </row>
    <row r="551" spans="1:12" ht="15.75" customHeight="1">
      <c r="A551" s="18"/>
      <c r="B551" s="21"/>
      <c r="L551" s="11"/>
    </row>
    <row r="552" spans="1:12" ht="15.75" customHeight="1">
      <c r="A552" s="18"/>
      <c r="B552" s="21"/>
      <c r="L552" s="11"/>
    </row>
    <row r="553" spans="1:12" ht="15.75" customHeight="1">
      <c r="A553" s="18"/>
      <c r="B553" s="21"/>
      <c r="L553" s="11"/>
    </row>
    <row r="554" spans="1:12" ht="15.75" customHeight="1">
      <c r="A554" s="18"/>
      <c r="B554" s="21"/>
      <c r="L554" s="11"/>
    </row>
    <row r="555" spans="1:12" ht="15.75" customHeight="1">
      <c r="A555" s="18"/>
      <c r="B555" s="21"/>
      <c r="L555" s="11"/>
    </row>
    <row r="556" spans="1:12" ht="15.75" customHeight="1">
      <c r="A556" s="18"/>
      <c r="B556" s="21"/>
      <c r="L556" s="11"/>
    </row>
    <row r="557" spans="1:12" ht="15.75" customHeight="1">
      <c r="A557" s="18"/>
      <c r="B557" s="21"/>
      <c r="L557" s="11"/>
    </row>
    <row r="558" spans="1:12" ht="15.75" customHeight="1">
      <c r="A558" s="18"/>
      <c r="B558" s="21"/>
      <c r="L558" s="11"/>
    </row>
    <row r="559" spans="1:12" ht="15.75" customHeight="1">
      <c r="A559" s="18"/>
      <c r="B559" s="21"/>
      <c r="L559" s="11"/>
    </row>
    <row r="560" spans="1:12" ht="15.75" customHeight="1">
      <c r="A560" s="18"/>
      <c r="B560" s="21"/>
      <c r="L560" s="11"/>
    </row>
    <row r="561" spans="1:12" ht="15.75" customHeight="1">
      <c r="A561" s="18"/>
      <c r="B561" s="21"/>
      <c r="L561" s="11"/>
    </row>
    <row r="562" spans="1:12" ht="15.75" customHeight="1">
      <c r="A562" s="18"/>
      <c r="B562" s="21"/>
      <c r="L562" s="11"/>
    </row>
    <row r="563" spans="1:12" ht="15.75" customHeight="1">
      <c r="A563" s="18"/>
      <c r="B563" s="21"/>
      <c r="L563" s="11"/>
    </row>
    <row r="564" spans="1:12" ht="15.75" customHeight="1">
      <c r="A564" s="18"/>
      <c r="B564" s="21"/>
      <c r="L564" s="11"/>
    </row>
    <row r="565" spans="1:12" ht="15.75" customHeight="1">
      <c r="A565" s="18"/>
      <c r="B565" s="21"/>
      <c r="L565" s="11"/>
    </row>
    <row r="566" spans="1:12" ht="15.75" customHeight="1">
      <c r="A566" s="18"/>
      <c r="B566" s="21"/>
      <c r="L566" s="11"/>
    </row>
    <row r="567" spans="1:12" ht="15.75" customHeight="1">
      <c r="A567" s="18"/>
      <c r="B567" s="21"/>
      <c r="L567" s="11"/>
    </row>
    <row r="568" spans="1:12" ht="15.75" customHeight="1">
      <c r="A568" s="18"/>
      <c r="B568" s="21"/>
      <c r="L568" s="11"/>
    </row>
    <row r="569" spans="1:12" ht="15.75" customHeight="1">
      <c r="A569" s="18"/>
      <c r="B569" s="21"/>
      <c r="L569" s="11"/>
    </row>
    <row r="570" spans="1:12" ht="15.75" customHeight="1">
      <c r="A570" s="18"/>
      <c r="B570" s="21"/>
      <c r="L570" s="11"/>
    </row>
    <row r="571" spans="1:12" ht="15.75" customHeight="1">
      <c r="A571" s="18"/>
      <c r="B571" s="21"/>
      <c r="L571" s="11"/>
    </row>
    <row r="572" spans="1:12" ht="15.75" customHeight="1">
      <c r="A572" s="18"/>
      <c r="B572" s="21"/>
      <c r="L572" s="11"/>
    </row>
    <row r="573" spans="1:12" ht="15.75" customHeight="1">
      <c r="A573" s="18"/>
      <c r="B573" s="21"/>
      <c r="L573" s="11"/>
    </row>
    <row r="574" spans="1:12" ht="15.75" customHeight="1">
      <c r="A574" s="18"/>
      <c r="B574" s="21"/>
      <c r="L574" s="11"/>
    </row>
    <row r="575" spans="1:12" ht="15.75" customHeight="1">
      <c r="A575" s="18"/>
      <c r="B575" s="21"/>
      <c r="L575" s="11"/>
    </row>
    <row r="576" spans="1:12" ht="15.75" customHeight="1">
      <c r="A576" s="18"/>
      <c r="B576" s="21"/>
      <c r="L576" s="11"/>
    </row>
    <row r="577" spans="1:12" ht="15.75" customHeight="1">
      <c r="A577" s="18"/>
      <c r="B577" s="21"/>
      <c r="L577" s="11"/>
    </row>
    <row r="578" spans="1:12" ht="15.75" customHeight="1">
      <c r="A578" s="18"/>
      <c r="B578" s="21"/>
      <c r="L578" s="11"/>
    </row>
    <row r="579" spans="1:12" ht="15.75" customHeight="1">
      <c r="A579" s="18"/>
      <c r="B579" s="21"/>
      <c r="L579" s="11"/>
    </row>
    <row r="580" spans="1:12" ht="15.75" customHeight="1">
      <c r="A580" s="18"/>
      <c r="B580" s="21"/>
      <c r="L580" s="11"/>
    </row>
    <row r="581" spans="1:12" ht="15.75" customHeight="1">
      <c r="A581" s="18"/>
      <c r="B581" s="21"/>
      <c r="L581" s="11"/>
    </row>
    <row r="582" spans="1:12" ht="15.75" customHeight="1">
      <c r="A582" s="18"/>
      <c r="B582" s="21"/>
      <c r="L582" s="11"/>
    </row>
    <row r="583" spans="1:12" ht="15.75" customHeight="1">
      <c r="A583" s="18"/>
      <c r="B583" s="21"/>
      <c r="L583" s="11"/>
    </row>
    <row r="584" spans="1:12" ht="15.75" customHeight="1">
      <c r="A584" s="18"/>
      <c r="B584" s="21"/>
      <c r="L584" s="11"/>
    </row>
    <row r="585" spans="1:12" ht="15.75" customHeight="1">
      <c r="A585" s="18"/>
      <c r="B585" s="21"/>
      <c r="L585" s="11"/>
    </row>
    <row r="586" spans="1:12" ht="15.75" customHeight="1">
      <c r="A586" s="18"/>
      <c r="B586" s="21"/>
      <c r="L586" s="11"/>
    </row>
    <row r="587" spans="1:12" ht="15.75" customHeight="1">
      <c r="A587" s="18"/>
      <c r="B587" s="21"/>
      <c r="L587" s="11"/>
    </row>
    <row r="588" spans="1:12" ht="15.75" customHeight="1">
      <c r="A588" s="18"/>
      <c r="B588" s="21"/>
      <c r="L588" s="11"/>
    </row>
    <row r="589" spans="1:12" ht="15.75" customHeight="1">
      <c r="A589" s="18"/>
      <c r="B589" s="21"/>
      <c r="L589" s="11"/>
    </row>
    <row r="590" spans="1:12" ht="15.75" customHeight="1">
      <c r="A590" s="18"/>
      <c r="B590" s="21"/>
      <c r="L590" s="11"/>
    </row>
    <row r="591" spans="1:12" ht="15.75" customHeight="1">
      <c r="A591" s="18"/>
      <c r="B591" s="21"/>
      <c r="L591" s="11"/>
    </row>
    <row r="592" spans="1:12" ht="15.75" customHeight="1">
      <c r="A592" s="18"/>
      <c r="B592" s="21"/>
      <c r="L592" s="11"/>
    </row>
    <row r="593" spans="1:12" ht="15.75" customHeight="1">
      <c r="A593" s="18"/>
      <c r="B593" s="21"/>
      <c r="L593" s="11"/>
    </row>
    <row r="594" spans="1:12" ht="15.75" customHeight="1">
      <c r="A594" s="18"/>
      <c r="B594" s="21"/>
      <c r="L594" s="11"/>
    </row>
    <row r="595" spans="1:12" ht="15.75" customHeight="1">
      <c r="A595" s="18"/>
      <c r="B595" s="21"/>
      <c r="L595" s="11"/>
    </row>
    <row r="596" spans="1:12" ht="15.75" customHeight="1">
      <c r="A596" s="18"/>
      <c r="B596" s="21"/>
      <c r="L596" s="11"/>
    </row>
    <row r="597" spans="1:12" ht="15.75" customHeight="1">
      <c r="A597" s="18"/>
      <c r="B597" s="21"/>
      <c r="L597" s="11"/>
    </row>
    <row r="598" spans="1:12" ht="15.75" customHeight="1">
      <c r="A598" s="18"/>
      <c r="B598" s="21"/>
      <c r="L598" s="11"/>
    </row>
    <row r="599" spans="1:12" ht="15.75" customHeight="1">
      <c r="A599" s="18"/>
      <c r="B599" s="21"/>
      <c r="L599" s="11"/>
    </row>
    <row r="600" spans="1:12" ht="15.75" customHeight="1">
      <c r="A600" s="18"/>
      <c r="B600" s="21"/>
      <c r="L600" s="11"/>
    </row>
    <row r="601" spans="1:12" ht="15.75" customHeight="1">
      <c r="A601" s="18"/>
      <c r="B601" s="21"/>
      <c r="L601" s="11"/>
    </row>
    <row r="602" spans="1:12" ht="15.75" customHeight="1">
      <c r="A602" s="18"/>
      <c r="B602" s="21"/>
      <c r="L602" s="11"/>
    </row>
    <row r="603" spans="1:12" ht="15.75" customHeight="1">
      <c r="A603" s="18"/>
      <c r="B603" s="21"/>
      <c r="L603" s="11"/>
    </row>
    <row r="604" spans="1:12" ht="15.75" customHeight="1">
      <c r="A604" s="18"/>
      <c r="B604" s="21"/>
      <c r="L604" s="11"/>
    </row>
    <row r="605" spans="1:12" ht="15.75" customHeight="1">
      <c r="A605" s="18"/>
      <c r="B605" s="21"/>
      <c r="L605" s="11"/>
    </row>
    <row r="606" spans="1:12" ht="15.75" customHeight="1">
      <c r="A606" s="18"/>
      <c r="B606" s="21"/>
      <c r="L606" s="11"/>
    </row>
    <row r="607" spans="1:12" ht="15.75" customHeight="1">
      <c r="A607" s="18"/>
      <c r="B607" s="21"/>
      <c r="L607" s="11"/>
    </row>
    <row r="608" spans="1:12" ht="15.75" customHeight="1">
      <c r="A608" s="18"/>
      <c r="B608" s="21"/>
      <c r="L608" s="11"/>
    </row>
    <row r="609" spans="1:12" ht="15.75" customHeight="1">
      <c r="A609" s="18"/>
      <c r="B609" s="21"/>
      <c r="L609" s="11"/>
    </row>
    <row r="610" spans="1:12" ht="15.75" customHeight="1">
      <c r="A610" s="18"/>
      <c r="B610" s="21"/>
      <c r="L610" s="11"/>
    </row>
    <row r="611" spans="1:12" ht="15.75" customHeight="1">
      <c r="A611" s="18"/>
      <c r="B611" s="21"/>
      <c r="L611" s="11"/>
    </row>
    <row r="612" spans="1:12" ht="15.75" customHeight="1">
      <c r="A612" s="18"/>
      <c r="B612" s="21"/>
      <c r="L612" s="11"/>
    </row>
    <row r="613" spans="1:12" ht="15.75" customHeight="1">
      <c r="A613" s="18"/>
      <c r="B613" s="21"/>
      <c r="L613" s="11"/>
    </row>
    <row r="614" spans="1:12" ht="15.75" customHeight="1">
      <c r="A614" s="18"/>
      <c r="B614" s="21"/>
      <c r="L614" s="11"/>
    </row>
    <row r="615" spans="1:12" ht="15.75" customHeight="1">
      <c r="A615" s="18"/>
      <c r="B615" s="21"/>
      <c r="L615" s="11"/>
    </row>
    <row r="616" spans="1:12" ht="15.75" customHeight="1">
      <c r="A616" s="18"/>
      <c r="B616" s="21"/>
      <c r="L616" s="11"/>
    </row>
    <row r="617" spans="1:12" ht="15.75" customHeight="1">
      <c r="A617" s="18"/>
      <c r="B617" s="21"/>
      <c r="L617" s="11"/>
    </row>
    <row r="618" spans="1:12" ht="15.75" customHeight="1">
      <c r="A618" s="18"/>
      <c r="B618" s="21"/>
      <c r="L618" s="11"/>
    </row>
    <row r="619" spans="1:12" ht="15.75" customHeight="1">
      <c r="A619" s="18"/>
      <c r="B619" s="21"/>
      <c r="L619" s="11"/>
    </row>
    <row r="620" spans="1:12" ht="15.75" customHeight="1">
      <c r="A620" s="18"/>
      <c r="B620" s="21"/>
      <c r="L620" s="11"/>
    </row>
    <row r="621" spans="1:12" ht="15.75" customHeight="1">
      <c r="A621" s="18"/>
      <c r="B621" s="21"/>
      <c r="L621" s="11"/>
    </row>
    <row r="622" spans="1:12" ht="15.75" customHeight="1">
      <c r="A622" s="18"/>
      <c r="B622" s="21"/>
      <c r="L622" s="11"/>
    </row>
    <row r="623" spans="1:12" ht="15.75" customHeight="1">
      <c r="A623" s="18"/>
      <c r="B623" s="21"/>
      <c r="L623" s="11"/>
    </row>
    <row r="624" spans="1:12" ht="15.75" customHeight="1">
      <c r="A624" s="18"/>
      <c r="B624" s="21"/>
      <c r="L624" s="11"/>
    </row>
    <row r="625" spans="1:12" ht="15.75" customHeight="1">
      <c r="A625" s="18"/>
      <c r="B625" s="21"/>
      <c r="L625" s="11"/>
    </row>
    <row r="626" spans="1:12" ht="15.75" customHeight="1">
      <c r="A626" s="18"/>
      <c r="B626" s="21"/>
      <c r="L626" s="11"/>
    </row>
    <row r="627" spans="1:12" ht="15.75" customHeight="1">
      <c r="A627" s="18"/>
      <c r="B627" s="21"/>
      <c r="L627" s="11"/>
    </row>
    <row r="628" spans="1:12" ht="15.75" customHeight="1">
      <c r="A628" s="18"/>
      <c r="B628" s="21"/>
      <c r="L628" s="11"/>
    </row>
    <row r="629" spans="1:12" ht="15.75" customHeight="1">
      <c r="A629" s="18"/>
      <c r="B629" s="21"/>
      <c r="L629" s="11"/>
    </row>
    <row r="630" spans="1:12" ht="15.75" customHeight="1">
      <c r="A630" s="18"/>
      <c r="B630" s="21"/>
      <c r="L630" s="11"/>
    </row>
    <row r="631" spans="1:12" ht="15.75" customHeight="1">
      <c r="A631" s="18"/>
      <c r="B631" s="21"/>
      <c r="L631" s="11"/>
    </row>
    <row r="632" spans="1:12" ht="15.75" customHeight="1">
      <c r="A632" s="18"/>
      <c r="B632" s="21"/>
      <c r="L632" s="11"/>
    </row>
    <row r="633" spans="1:12" ht="15.75" customHeight="1">
      <c r="A633" s="18"/>
      <c r="B633" s="21"/>
      <c r="L633" s="11"/>
    </row>
    <row r="634" spans="1:12" ht="15.75" customHeight="1">
      <c r="A634" s="18"/>
      <c r="B634" s="21"/>
      <c r="L634" s="11"/>
    </row>
    <row r="635" spans="1:12" ht="15.75" customHeight="1">
      <c r="A635" s="18"/>
      <c r="B635" s="21"/>
      <c r="L635" s="11"/>
    </row>
    <row r="636" spans="1:12" ht="15.75" customHeight="1">
      <c r="A636" s="18"/>
      <c r="B636" s="21"/>
      <c r="L636" s="11"/>
    </row>
    <row r="637" spans="1:12" ht="15.75" customHeight="1">
      <c r="A637" s="18"/>
      <c r="B637" s="21"/>
      <c r="L637" s="11"/>
    </row>
    <row r="638" spans="1:12" ht="15.75" customHeight="1">
      <c r="A638" s="18"/>
      <c r="B638" s="21"/>
      <c r="L638" s="11"/>
    </row>
    <row r="639" spans="1:12" ht="15.75" customHeight="1">
      <c r="A639" s="18"/>
      <c r="B639" s="21"/>
      <c r="L639" s="11"/>
    </row>
    <row r="640" spans="1:12" ht="15.75" customHeight="1">
      <c r="A640" s="18"/>
      <c r="B640" s="21"/>
      <c r="L640" s="11"/>
    </row>
    <row r="641" spans="1:12" ht="15.75" customHeight="1">
      <c r="A641" s="18"/>
      <c r="B641" s="21"/>
      <c r="L641" s="11"/>
    </row>
    <row r="642" spans="1:12" ht="15.75" customHeight="1">
      <c r="A642" s="18"/>
      <c r="B642" s="21"/>
      <c r="L642" s="11"/>
    </row>
    <row r="643" spans="1:12" ht="15.75" customHeight="1">
      <c r="A643" s="18"/>
      <c r="B643" s="21"/>
      <c r="L643" s="11"/>
    </row>
    <row r="644" spans="1:12" ht="15.75" customHeight="1">
      <c r="A644" s="18"/>
      <c r="B644" s="21"/>
      <c r="L644" s="11"/>
    </row>
    <row r="645" spans="1:12" ht="15.75" customHeight="1">
      <c r="A645" s="18"/>
      <c r="B645" s="21"/>
      <c r="L645" s="11"/>
    </row>
    <row r="646" spans="1:12" ht="15.75" customHeight="1">
      <c r="A646" s="18"/>
      <c r="B646" s="21"/>
      <c r="L646" s="11"/>
    </row>
    <row r="647" spans="1:12" ht="15.75" customHeight="1">
      <c r="A647" s="18"/>
      <c r="B647" s="21"/>
      <c r="L647" s="11"/>
    </row>
    <row r="648" spans="1:12" ht="15.75" customHeight="1">
      <c r="A648" s="18"/>
      <c r="B648" s="21"/>
      <c r="L648" s="11"/>
    </row>
    <row r="649" spans="1:12" ht="15.75" customHeight="1">
      <c r="A649" s="18"/>
      <c r="B649" s="21"/>
      <c r="L649" s="11"/>
    </row>
    <row r="650" spans="1:12" ht="15.75" customHeight="1">
      <c r="A650" s="18"/>
      <c r="B650" s="21"/>
      <c r="L650" s="11"/>
    </row>
    <row r="651" spans="1:12" ht="15.75" customHeight="1">
      <c r="A651" s="18"/>
      <c r="B651" s="21"/>
      <c r="L651" s="11"/>
    </row>
    <row r="652" spans="1:12" ht="15.75" customHeight="1">
      <c r="A652" s="18"/>
      <c r="B652" s="21"/>
      <c r="L652" s="11"/>
    </row>
    <row r="653" spans="1:12" ht="15.75" customHeight="1">
      <c r="A653" s="18"/>
      <c r="B653" s="21"/>
      <c r="L653" s="11"/>
    </row>
    <row r="654" spans="1:12" ht="15.75" customHeight="1">
      <c r="A654" s="18"/>
      <c r="B654" s="21"/>
      <c r="L654" s="11"/>
    </row>
    <row r="655" spans="1:12" ht="15.75" customHeight="1">
      <c r="A655" s="18"/>
      <c r="B655" s="21"/>
      <c r="L655" s="11"/>
    </row>
    <row r="656" spans="1:12" ht="15.75" customHeight="1">
      <c r="A656" s="18"/>
      <c r="B656" s="21"/>
      <c r="L656" s="11"/>
    </row>
    <row r="657" spans="1:12" ht="15.75" customHeight="1">
      <c r="A657" s="18"/>
      <c r="B657" s="21"/>
      <c r="L657" s="11"/>
    </row>
    <row r="658" spans="1:12" ht="15.75" customHeight="1">
      <c r="A658" s="18"/>
      <c r="B658" s="21"/>
      <c r="L658" s="11"/>
    </row>
    <row r="659" spans="1:12" ht="15.75" customHeight="1">
      <c r="A659" s="18"/>
      <c r="B659" s="21"/>
      <c r="L659" s="11"/>
    </row>
    <row r="660" spans="1:12" ht="15.75" customHeight="1">
      <c r="A660" s="18"/>
      <c r="B660" s="21"/>
      <c r="L660" s="11"/>
    </row>
    <row r="661" spans="1:12" ht="15.75" customHeight="1">
      <c r="A661" s="18"/>
      <c r="B661" s="21"/>
      <c r="L661" s="11"/>
    </row>
    <row r="662" spans="1:12" ht="15.75" customHeight="1">
      <c r="A662" s="18"/>
      <c r="B662" s="21"/>
      <c r="L662" s="11"/>
    </row>
    <row r="663" spans="1:12" ht="15.75" customHeight="1">
      <c r="A663" s="18"/>
      <c r="B663" s="21"/>
      <c r="L663" s="11"/>
    </row>
    <row r="664" spans="1:12" ht="15.75" customHeight="1">
      <c r="A664" s="18"/>
      <c r="B664" s="21"/>
      <c r="L664" s="11"/>
    </row>
    <row r="665" spans="1:12" ht="15.75" customHeight="1">
      <c r="A665" s="18"/>
      <c r="B665" s="21"/>
      <c r="L665" s="11"/>
    </row>
    <row r="666" spans="1:12" ht="15.75" customHeight="1">
      <c r="A666" s="18"/>
      <c r="B666" s="21"/>
      <c r="L666" s="11"/>
    </row>
    <row r="667" spans="1:12" ht="15.75" customHeight="1">
      <c r="A667" s="18"/>
      <c r="B667" s="21"/>
      <c r="L667" s="11"/>
    </row>
    <row r="668" spans="1:12" ht="15.75" customHeight="1">
      <c r="A668" s="18"/>
      <c r="B668" s="21"/>
      <c r="L668" s="11"/>
    </row>
    <row r="669" spans="1:12" ht="15.75" customHeight="1">
      <c r="A669" s="18"/>
      <c r="B669" s="21"/>
      <c r="L669" s="11"/>
    </row>
    <row r="670" spans="1:12" ht="15.75" customHeight="1">
      <c r="A670" s="18"/>
      <c r="B670" s="21"/>
      <c r="L670" s="11"/>
    </row>
    <row r="671" spans="1:12" ht="15.75" customHeight="1">
      <c r="A671" s="18"/>
      <c r="B671" s="21"/>
      <c r="L671" s="11"/>
    </row>
    <row r="672" spans="1:12" ht="15.75" customHeight="1">
      <c r="A672" s="18"/>
      <c r="B672" s="21"/>
      <c r="L672" s="11"/>
    </row>
    <row r="673" spans="1:12" ht="15.75" customHeight="1">
      <c r="A673" s="18"/>
      <c r="B673" s="21"/>
      <c r="L673" s="11"/>
    </row>
    <row r="674" spans="1:12" ht="15.75" customHeight="1">
      <c r="A674" s="18"/>
      <c r="B674" s="21"/>
      <c r="L674" s="11"/>
    </row>
    <row r="675" spans="1:12" ht="15.75" customHeight="1">
      <c r="A675" s="18"/>
      <c r="B675" s="21"/>
      <c r="L675" s="11"/>
    </row>
    <row r="676" spans="1:12" ht="15.75" customHeight="1">
      <c r="A676" s="18"/>
      <c r="B676" s="21"/>
      <c r="L676" s="11"/>
    </row>
    <row r="677" spans="1:12" ht="15.75" customHeight="1">
      <c r="A677" s="18"/>
      <c r="B677" s="21"/>
      <c r="L677" s="11"/>
    </row>
    <row r="678" spans="1:12" ht="15.75" customHeight="1">
      <c r="A678" s="18"/>
      <c r="B678" s="21"/>
      <c r="L678" s="11"/>
    </row>
    <row r="679" spans="1:12" ht="15.75" customHeight="1">
      <c r="A679" s="18"/>
      <c r="B679" s="21"/>
      <c r="L679" s="11"/>
    </row>
    <row r="680" spans="1:12" ht="15.75" customHeight="1">
      <c r="A680" s="18"/>
      <c r="B680" s="21"/>
      <c r="L680" s="11"/>
    </row>
    <row r="681" spans="1:12" ht="15.75" customHeight="1">
      <c r="A681" s="18"/>
      <c r="B681" s="21"/>
      <c r="L681" s="11"/>
    </row>
    <row r="682" spans="1:12" ht="15.75" customHeight="1">
      <c r="A682" s="18"/>
      <c r="B682" s="21"/>
      <c r="L682" s="11"/>
    </row>
    <row r="683" spans="1:12" ht="15.75" customHeight="1">
      <c r="A683" s="18"/>
      <c r="B683" s="21"/>
      <c r="L683" s="11"/>
    </row>
    <row r="684" spans="1:12" ht="15.75" customHeight="1">
      <c r="A684" s="18"/>
      <c r="B684" s="21"/>
      <c r="L684" s="11"/>
    </row>
    <row r="685" spans="1:12" ht="15.75" customHeight="1">
      <c r="A685" s="18"/>
      <c r="B685" s="21"/>
      <c r="L685" s="11"/>
    </row>
    <row r="686" spans="1:12" ht="15.75" customHeight="1">
      <c r="A686" s="18"/>
      <c r="B686" s="21"/>
      <c r="L686" s="11"/>
    </row>
    <row r="687" spans="1:12" ht="15.75" customHeight="1">
      <c r="A687" s="18"/>
      <c r="B687" s="21"/>
      <c r="L687" s="11"/>
    </row>
    <row r="688" spans="1:12" ht="15.75" customHeight="1">
      <c r="A688" s="18"/>
      <c r="B688" s="21"/>
      <c r="L688" s="11"/>
    </row>
    <row r="689" spans="1:12" ht="15.75" customHeight="1">
      <c r="A689" s="18"/>
      <c r="B689" s="21"/>
      <c r="L689" s="11"/>
    </row>
    <row r="690" spans="1:12" ht="15.75" customHeight="1">
      <c r="A690" s="18"/>
      <c r="B690" s="21"/>
      <c r="L690" s="11"/>
    </row>
    <row r="691" spans="1:12" ht="15.75" customHeight="1">
      <c r="A691" s="18"/>
      <c r="B691" s="21"/>
      <c r="L691" s="11"/>
    </row>
    <row r="692" spans="1:12" ht="15.75" customHeight="1">
      <c r="A692" s="18"/>
      <c r="B692" s="21"/>
      <c r="L692" s="11"/>
    </row>
    <row r="693" spans="1:12" ht="15.75" customHeight="1">
      <c r="A693" s="18"/>
      <c r="B693" s="21"/>
      <c r="L693" s="11"/>
    </row>
    <row r="694" spans="1:12" ht="15.75" customHeight="1">
      <c r="A694" s="18"/>
      <c r="B694" s="21"/>
      <c r="L694" s="11"/>
    </row>
    <row r="695" spans="1:12" ht="15.75" customHeight="1">
      <c r="A695" s="18"/>
      <c r="B695" s="21"/>
      <c r="L695" s="11"/>
    </row>
    <row r="696" spans="1:12" ht="15.75" customHeight="1">
      <c r="A696" s="18"/>
      <c r="B696" s="21"/>
      <c r="L696" s="11"/>
    </row>
    <row r="697" spans="1:12" ht="15.75" customHeight="1">
      <c r="A697" s="18"/>
      <c r="B697" s="21"/>
      <c r="L697" s="11"/>
    </row>
    <row r="698" spans="1:12" ht="15.75" customHeight="1">
      <c r="A698" s="18"/>
      <c r="B698" s="21"/>
      <c r="L698" s="11"/>
    </row>
    <row r="699" spans="1:12" ht="15.75" customHeight="1">
      <c r="A699" s="18"/>
      <c r="B699" s="21"/>
      <c r="L699" s="11"/>
    </row>
    <row r="700" spans="1:12" ht="15.75" customHeight="1">
      <c r="A700" s="18"/>
      <c r="B700" s="21"/>
      <c r="L700" s="11"/>
    </row>
    <row r="701" spans="1:12" ht="15.75" customHeight="1">
      <c r="A701" s="18"/>
      <c r="B701" s="21"/>
      <c r="L701" s="11"/>
    </row>
    <row r="702" spans="1:12" ht="15.75" customHeight="1">
      <c r="A702" s="18"/>
      <c r="B702" s="21"/>
      <c r="L702" s="11"/>
    </row>
    <row r="703" spans="1:12" ht="15.75" customHeight="1">
      <c r="A703" s="18"/>
      <c r="B703" s="21"/>
      <c r="L703" s="11"/>
    </row>
    <row r="704" spans="1:12" ht="15.75" customHeight="1">
      <c r="A704" s="18"/>
      <c r="B704" s="21"/>
      <c r="L704" s="11"/>
    </row>
    <row r="705" spans="1:12" ht="15.75" customHeight="1">
      <c r="A705" s="18"/>
      <c r="B705" s="21"/>
      <c r="L705" s="11"/>
    </row>
    <row r="706" spans="1:12" ht="15.75" customHeight="1">
      <c r="A706" s="18"/>
      <c r="B706" s="21"/>
      <c r="L706" s="11"/>
    </row>
    <row r="707" spans="1:12" ht="15.75" customHeight="1">
      <c r="A707" s="18"/>
      <c r="B707" s="21"/>
      <c r="L707" s="11"/>
    </row>
    <row r="708" spans="1:12" ht="15.75" customHeight="1">
      <c r="A708" s="18"/>
      <c r="B708" s="21"/>
      <c r="L708" s="11"/>
    </row>
    <row r="709" spans="1:12" ht="15.75" customHeight="1">
      <c r="A709" s="18"/>
      <c r="B709" s="21"/>
      <c r="L709" s="11"/>
    </row>
    <row r="710" spans="1:12" ht="15.75" customHeight="1">
      <c r="A710" s="18"/>
      <c r="B710" s="21"/>
      <c r="L710" s="11"/>
    </row>
    <row r="711" spans="1:12" ht="15.75" customHeight="1">
      <c r="A711" s="18"/>
      <c r="B711" s="21"/>
      <c r="L711" s="11"/>
    </row>
    <row r="712" spans="1:12" ht="15.75" customHeight="1">
      <c r="A712" s="18"/>
      <c r="B712" s="21"/>
      <c r="L712" s="11"/>
    </row>
    <row r="713" spans="1:12" ht="15.75" customHeight="1">
      <c r="A713" s="18"/>
      <c r="B713" s="21"/>
      <c r="L713" s="11"/>
    </row>
    <row r="714" spans="1:12" ht="15.75" customHeight="1">
      <c r="A714" s="18"/>
      <c r="B714" s="21"/>
      <c r="L714" s="11"/>
    </row>
    <row r="715" spans="1:12" ht="15.75" customHeight="1">
      <c r="A715" s="18"/>
      <c r="B715" s="21"/>
      <c r="L715" s="11"/>
    </row>
    <row r="716" spans="1:12" ht="15.75" customHeight="1">
      <c r="A716" s="18"/>
      <c r="B716" s="21"/>
      <c r="L716" s="11"/>
    </row>
    <row r="717" spans="1:12" ht="15.75" customHeight="1">
      <c r="A717" s="18"/>
      <c r="B717" s="21"/>
      <c r="L717" s="11"/>
    </row>
    <row r="718" spans="1:12" ht="15.75" customHeight="1">
      <c r="A718" s="18"/>
      <c r="B718" s="21"/>
      <c r="L718" s="11"/>
    </row>
    <row r="719" spans="1:12" ht="15.75" customHeight="1">
      <c r="A719" s="18"/>
      <c r="B719" s="21"/>
      <c r="L719" s="11"/>
    </row>
    <row r="720" spans="1:12" ht="15.75" customHeight="1">
      <c r="A720" s="18"/>
      <c r="B720" s="21"/>
      <c r="L720" s="11"/>
    </row>
    <row r="721" spans="1:12" ht="15.75" customHeight="1">
      <c r="A721" s="18"/>
      <c r="B721" s="21"/>
      <c r="L721" s="11"/>
    </row>
    <row r="722" spans="1:12" ht="15.75" customHeight="1">
      <c r="A722" s="18"/>
      <c r="B722" s="21"/>
      <c r="L722" s="11"/>
    </row>
    <row r="723" spans="1:12" ht="15.75" customHeight="1">
      <c r="A723" s="18"/>
      <c r="B723" s="21"/>
      <c r="L723" s="11"/>
    </row>
    <row r="724" spans="1:12" ht="15.75" customHeight="1">
      <c r="A724" s="18"/>
      <c r="B724" s="21"/>
      <c r="L724" s="11"/>
    </row>
    <row r="725" spans="1:12" ht="15.75" customHeight="1">
      <c r="A725" s="18"/>
      <c r="B725" s="21"/>
      <c r="L725" s="11"/>
    </row>
    <row r="726" spans="1:12" ht="15.75" customHeight="1">
      <c r="A726" s="18"/>
      <c r="B726" s="21"/>
      <c r="L726" s="11"/>
    </row>
    <row r="727" spans="1:12" ht="15.75" customHeight="1">
      <c r="A727" s="18"/>
      <c r="B727" s="21"/>
      <c r="L727" s="11"/>
    </row>
    <row r="728" spans="1:12" ht="15.75" customHeight="1">
      <c r="A728" s="18"/>
      <c r="B728" s="21"/>
      <c r="L728" s="11"/>
    </row>
    <row r="729" spans="1:12" ht="15.75" customHeight="1">
      <c r="A729" s="18"/>
      <c r="B729" s="21"/>
      <c r="L729" s="11"/>
    </row>
    <row r="730" spans="1:12" ht="15.75" customHeight="1">
      <c r="A730" s="18"/>
      <c r="B730" s="21"/>
      <c r="L730" s="11"/>
    </row>
    <row r="731" spans="1:12" ht="15.75" customHeight="1">
      <c r="A731" s="18"/>
      <c r="B731" s="21"/>
      <c r="L731" s="11"/>
    </row>
    <row r="732" spans="1:12" ht="15.75" customHeight="1">
      <c r="A732" s="18"/>
      <c r="B732" s="21"/>
      <c r="L732" s="11"/>
    </row>
    <row r="733" spans="1:12" ht="15.75" customHeight="1">
      <c r="A733" s="18"/>
      <c r="B733" s="21"/>
      <c r="L733" s="11"/>
    </row>
    <row r="734" spans="1:12" ht="15.75" customHeight="1">
      <c r="A734" s="18"/>
      <c r="B734" s="21"/>
      <c r="L734" s="11"/>
    </row>
    <row r="735" spans="1:12" ht="15.75" customHeight="1">
      <c r="A735" s="18"/>
      <c r="B735" s="21"/>
      <c r="L735" s="11"/>
    </row>
    <row r="736" spans="1:12" ht="15.75" customHeight="1">
      <c r="A736" s="18"/>
      <c r="B736" s="21"/>
      <c r="L736" s="11"/>
    </row>
    <row r="737" spans="1:12" ht="15.75" customHeight="1">
      <c r="A737" s="18"/>
      <c r="B737" s="21"/>
      <c r="L737" s="11"/>
    </row>
    <row r="738" spans="1:12" ht="15.75" customHeight="1">
      <c r="A738" s="18"/>
      <c r="B738" s="21"/>
      <c r="L738" s="11"/>
    </row>
    <row r="739" spans="1:12" ht="15.75" customHeight="1">
      <c r="A739" s="18"/>
      <c r="B739" s="21"/>
      <c r="L739" s="11"/>
    </row>
    <row r="740" spans="1:12" ht="15.75" customHeight="1">
      <c r="A740" s="18"/>
      <c r="B740" s="21"/>
      <c r="L740" s="11"/>
    </row>
    <row r="741" spans="1:12" ht="15.75" customHeight="1">
      <c r="A741" s="18"/>
      <c r="B741" s="21"/>
      <c r="L741" s="11"/>
    </row>
    <row r="742" spans="1:12" ht="15.75" customHeight="1">
      <c r="A742" s="18"/>
      <c r="B742" s="21"/>
      <c r="L742" s="11"/>
    </row>
    <row r="743" spans="1:12" ht="15.75" customHeight="1">
      <c r="A743" s="18"/>
      <c r="B743" s="21"/>
      <c r="L743" s="11"/>
    </row>
    <row r="744" spans="1:12" ht="15.75" customHeight="1">
      <c r="A744" s="18"/>
      <c r="B744" s="21"/>
      <c r="L744" s="11"/>
    </row>
    <row r="745" spans="1:12" ht="15.75" customHeight="1">
      <c r="A745" s="18"/>
      <c r="B745" s="21"/>
      <c r="L745" s="11"/>
    </row>
    <row r="746" spans="1:12" ht="15.75" customHeight="1">
      <c r="A746" s="18"/>
      <c r="B746" s="21"/>
      <c r="L746" s="11"/>
    </row>
    <row r="747" spans="1:12" ht="15.75" customHeight="1">
      <c r="A747" s="18"/>
      <c r="B747" s="21"/>
      <c r="L747" s="11"/>
    </row>
    <row r="748" spans="1:12" ht="15.75" customHeight="1">
      <c r="A748" s="18"/>
      <c r="B748" s="21"/>
      <c r="L748" s="11"/>
    </row>
    <row r="749" spans="1:12" ht="15.75" customHeight="1">
      <c r="A749" s="18"/>
      <c r="B749" s="21"/>
      <c r="L749" s="11"/>
    </row>
    <row r="750" spans="1:12" ht="15.75" customHeight="1">
      <c r="A750" s="18"/>
      <c r="B750" s="21"/>
      <c r="L750" s="11"/>
    </row>
    <row r="751" spans="1:12" ht="15.75" customHeight="1">
      <c r="A751" s="18"/>
      <c r="B751" s="21"/>
      <c r="L751" s="11"/>
    </row>
    <row r="752" spans="1:12" ht="15.75" customHeight="1">
      <c r="A752" s="18"/>
      <c r="B752" s="21"/>
      <c r="L752" s="11"/>
    </row>
    <row r="753" spans="1:12" ht="15.75" customHeight="1">
      <c r="A753" s="18"/>
      <c r="B753" s="21"/>
      <c r="L753" s="11"/>
    </row>
    <row r="754" spans="1:12" ht="15.75" customHeight="1">
      <c r="A754" s="18"/>
      <c r="B754" s="21"/>
      <c r="L754" s="11"/>
    </row>
    <row r="755" spans="1:12" ht="15.75" customHeight="1">
      <c r="A755" s="18"/>
      <c r="B755" s="21"/>
      <c r="L755" s="11"/>
    </row>
    <row r="756" spans="1:12" ht="15.75" customHeight="1">
      <c r="A756" s="18"/>
      <c r="B756" s="21"/>
      <c r="L756" s="11"/>
    </row>
    <row r="757" spans="1:12" ht="15.75" customHeight="1">
      <c r="A757" s="18"/>
      <c r="B757" s="21"/>
      <c r="L757" s="11"/>
    </row>
    <row r="758" spans="1:12" ht="15.75" customHeight="1">
      <c r="A758" s="18"/>
      <c r="B758" s="21"/>
      <c r="L758" s="11"/>
    </row>
    <row r="759" spans="1:12" ht="15.75" customHeight="1">
      <c r="A759" s="18"/>
      <c r="B759" s="21"/>
      <c r="L759" s="11"/>
    </row>
    <row r="760" spans="1:12" ht="15.75" customHeight="1">
      <c r="A760" s="18"/>
      <c r="B760" s="21"/>
      <c r="L760" s="11"/>
    </row>
    <row r="761" spans="1:12" ht="15.75" customHeight="1">
      <c r="A761" s="18"/>
      <c r="B761" s="21"/>
      <c r="L761" s="11"/>
    </row>
    <row r="762" spans="1:12" ht="15.75" customHeight="1">
      <c r="A762" s="18"/>
      <c r="B762" s="21"/>
      <c r="L762" s="11"/>
    </row>
    <row r="763" spans="1:12" ht="15.75" customHeight="1">
      <c r="A763" s="18"/>
      <c r="B763" s="21"/>
      <c r="L763" s="11"/>
    </row>
    <row r="764" spans="1:12" ht="15.75" customHeight="1">
      <c r="A764" s="18"/>
      <c r="B764" s="21"/>
      <c r="L764" s="11"/>
    </row>
    <row r="765" spans="1:12" ht="15.75" customHeight="1">
      <c r="A765" s="18"/>
      <c r="B765" s="21"/>
      <c r="L765" s="11"/>
    </row>
    <row r="766" spans="1:12" ht="15.75" customHeight="1">
      <c r="A766" s="18"/>
      <c r="B766" s="21"/>
      <c r="L766" s="11"/>
    </row>
    <row r="767" spans="1:12" ht="15.75" customHeight="1">
      <c r="A767" s="18"/>
      <c r="B767" s="21"/>
      <c r="L767" s="11"/>
    </row>
    <row r="768" spans="1:12" ht="15.75" customHeight="1">
      <c r="A768" s="18"/>
      <c r="B768" s="21"/>
      <c r="L768" s="11"/>
    </row>
    <row r="769" spans="1:12" ht="15.75" customHeight="1">
      <c r="A769" s="18"/>
      <c r="B769" s="21"/>
      <c r="L769" s="11"/>
    </row>
    <row r="770" spans="1:12" ht="15.75" customHeight="1">
      <c r="A770" s="18"/>
      <c r="B770" s="21"/>
      <c r="L770" s="11"/>
    </row>
    <row r="771" spans="1:12" ht="15.75" customHeight="1">
      <c r="A771" s="18"/>
      <c r="B771" s="21"/>
      <c r="L771" s="11"/>
    </row>
    <row r="772" spans="1:12" ht="15.75" customHeight="1">
      <c r="A772" s="18"/>
      <c r="B772" s="21"/>
      <c r="L772" s="11"/>
    </row>
    <row r="773" spans="1:12" ht="15.75" customHeight="1">
      <c r="A773" s="18"/>
      <c r="B773" s="21"/>
      <c r="L773" s="11"/>
    </row>
    <row r="774" spans="1:12" ht="15.75" customHeight="1">
      <c r="A774" s="18"/>
      <c r="B774" s="21"/>
      <c r="L774" s="11"/>
    </row>
    <row r="775" spans="1:12" ht="15.75" customHeight="1">
      <c r="A775" s="18"/>
      <c r="B775" s="21"/>
      <c r="L775" s="11"/>
    </row>
    <row r="776" spans="1:12" ht="15.75" customHeight="1">
      <c r="A776" s="18"/>
      <c r="B776" s="21"/>
      <c r="L776" s="11"/>
    </row>
    <row r="777" spans="1:12" ht="15.75" customHeight="1">
      <c r="A777" s="18"/>
      <c r="B777" s="21"/>
      <c r="L777" s="11"/>
    </row>
    <row r="778" spans="1:12" ht="15.75" customHeight="1">
      <c r="A778" s="18"/>
      <c r="B778" s="21"/>
      <c r="L778" s="11"/>
    </row>
    <row r="779" spans="1:12" ht="15.75" customHeight="1">
      <c r="A779" s="18"/>
      <c r="B779" s="21"/>
      <c r="L779" s="11"/>
    </row>
    <row r="780" spans="1:12" ht="15.75" customHeight="1">
      <c r="A780" s="18"/>
      <c r="B780" s="21"/>
      <c r="L780" s="11"/>
    </row>
    <row r="781" spans="1:12" ht="15.75" customHeight="1">
      <c r="A781" s="18"/>
      <c r="B781" s="21"/>
      <c r="L781" s="11"/>
    </row>
    <row r="782" spans="1:12" ht="15.75" customHeight="1">
      <c r="A782" s="18"/>
      <c r="B782" s="21"/>
      <c r="L782" s="11"/>
    </row>
    <row r="783" spans="1:12" ht="15.75" customHeight="1">
      <c r="A783" s="18"/>
      <c r="B783" s="21"/>
      <c r="L783" s="11"/>
    </row>
    <row r="784" spans="1:12" ht="15.75" customHeight="1">
      <c r="A784" s="18"/>
      <c r="B784" s="21"/>
      <c r="L784" s="11"/>
    </row>
    <row r="785" spans="1:12" ht="15.75" customHeight="1">
      <c r="A785" s="18"/>
      <c r="B785" s="21"/>
      <c r="L785" s="11"/>
    </row>
    <row r="786" spans="1:12" ht="15.75" customHeight="1">
      <c r="A786" s="18"/>
      <c r="B786" s="21"/>
      <c r="L786" s="11"/>
    </row>
    <row r="787" spans="1:12" ht="15.75" customHeight="1">
      <c r="A787" s="18"/>
      <c r="B787" s="21"/>
      <c r="L787" s="11"/>
    </row>
    <row r="788" spans="1:12" ht="15.75" customHeight="1">
      <c r="A788" s="18"/>
      <c r="B788" s="21"/>
      <c r="L788" s="11"/>
    </row>
    <row r="789" spans="1:12" ht="15.75" customHeight="1">
      <c r="A789" s="18"/>
      <c r="B789" s="21"/>
      <c r="L789" s="11"/>
    </row>
    <row r="790" spans="1:12" ht="15.75" customHeight="1">
      <c r="A790" s="18"/>
      <c r="B790" s="21"/>
      <c r="L790" s="11"/>
    </row>
    <row r="791" spans="1:12" ht="15.75" customHeight="1">
      <c r="A791" s="18"/>
      <c r="B791" s="21"/>
      <c r="L791" s="11"/>
    </row>
    <row r="792" spans="1:12" ht="15.75" customHeight="1">
      <c r="A792" s="18"/>
      <c r="B792" s="21"/>
      <c r="L792" s="11"/>
    </row>
    <row r="793" spans="1:12" ht="15.75" customHeight="1">
      <c r="A793" s="18"/>
      <c r="B793" s="21"/>
      <c r="L793" s="11"/>
    </row>
    <row r="794" spans="1:12" ht="15.75" customHeight="1">
      <c r="A794" s="18"/>
      <c r="B794" s="21"/>
      <c r="L794" s="11"/>
    </row>
    <row r="795" spans="1:12" ht="15.75" customHeight="1">
      <c r="A795" s="18"/>
      <c r="B795" s="21"/>
      <c r="L795" s="11"/>
    </row>
    <row r="796" spans="1:12" ht="15.75" customHeight="1">
      <c r="A796" s="18"/>
      <c r="B796" s="21"/>
      <c r="L796" s="11"/>
    </row>
    <row r="797" spans="1:12" ht="15.75" customHeight="1">
      <c r="A797" s="18"/>
      <c r="B797" s="21"/>
      <c r="L797" s="11"/>
    </row>
    <row r="798" spans="1:12" ht="15.75" customHeight="1">
      <c r="A798" s="18"/>
      <c r="B798" s="21"/>
      <c r="L798" s="11"/>
    </row>
    <row r="799" spans="1:12" ht="15.75" customHeight="1">
      <c r="A799" s="18"/>
      <c r="B799" s="21"/>
      <c r="L799" s="11"/>
    </row>
    <row r="800" spans="1:12" ht="15.75" customHeight="1">
      <c r="A800" s="18"/>
      <c r="B800" s="21"/>
      <c r="L800" s="11"/>
    </row>
    <row r="801" spans="1:12" ht="15.75" customHeight="1">
      <c r="A801" s="18"/>
      <c r="B801" s="21"/>
      <c r="L801" s="11"/>
    </row>
    <row r="802" spans="1:12" ht="15.75" customHeight="1">
      <c r="A802" s="18"/>
      <c r="B802" s="21"/>
      <c r="L802" s="11"/>
    </row>
    <row r="803" spans="1:12" ht="15.75" customHeight="1">
      <c r="A803" s="18"/>
      <c r="B803" s="21"/>
      <c r="L803" s="11"/>
    </row>
    <row r="804" spans="1:12" ht="15.75" customHeight="1">
      <c r="A804" s="18"/>
      <c r="B804" s="21"/>
      <c r="L804" s="11"/>
    </row>
    <row r="805" spans="1:12" ht="15.75" customHeight="1">
      <c r="A805" s="18"/>
      <c r="B805" s="21"/>
      <c r="L805" s="11"/>
    </row>
    <row r="806" spans="1:12" ht="15.75" customHeight="1">
      <c r="A806" s="18"/>
      <c r="B806" s="21"/>
      <c r="L806" s="11"/>
    </row>
    <row r="807" spans="1:12" ht="15.75" customHeight="1">
      <c r="A807" s="18"/>
      <c r="B807" s="21"/>
      <c r="L807" s="11"/>
    </row>
    <row r="808" spans="1:12" ht="15.75" customHeight="1">
      <c r="A808" s="18"/>
      <c r="B808" s="21"/>
      <c r="L808" s="11"/>
    </row>
    <row r="809" spans="1:12" ht="15.75" customHeight="1">
      <c r="A809" s="18"/>
      <c r="B809" s="21"/>
      <c r="L809" s="11"/>
    </row>
    <row r="810" spans="1:12" ht="15.75" customHeight="1">
      <c r="A810" s="18"/>
      <c r="B810" s="21"/>
      <c r="L810" s="11"/>
    </row>
    <row r="811" spans="1:12" ht="15.75" customHeight="1">
      <c r="A811" s="18"/>
      <c r="B811" s="21"/>
      <c r="L811" s="11"/>
    </row>
    <row r="812" spans="1:12" ht="15.75" customHeight="1">
      <c r="A812" s="18"/>
      <c r="B812" s="21"/>
      <c r="L812" s="11"/>
    </row>
    <row r="813" spans="1:12" ht="15.75" customHeight="1">
      <c r="A813" s="18"/>
      <c r="B813" s="21"/>
      <c r="L813" s="11"/>
    </row>
    <row r="814" spans="1:12" ht="15.75" customHeight="1">
      <c r="A814" s="18"/>
      <c r="B814" s="21"/>
      <c r="L814" s="11"/>
    </row>
    <row r="815" spans="1:12" ht="15.75" customHeight="1">
      <c r="A815" s="18"/>
      <c r="B815" s="21"/>
      <c r="L815" s="11"/>
    </row>
    <row r="816" spans="1:12" ht="15.75" customHeight="1">
      <c r="A816" s="18"/>
      <c r="B816" s="21"/>
      <c r="L816" s="11"/>
    </row>
    <row r="817" spans="1:12" ht="15.75" customHeight="1">
      <c r="A817" s="18"/>
      <c r="B817" s="21"/>
      <c r="L817" s="11"/>
    </row>
    <row r="818" spans="1:12" ht="15.75" customHeight="1">
      <c r="A818" s="18"/>
      <c r="B818" s="21"/>
      <c r="L818" s="11"/>
    </row>
    <row r="819" spans="1:12" ht="15.75" customHeight="1">
      <c r="A819" s="18"/>
      <c r="B819" s="21"/>
      <c r="L819" s="11"/>
    </row>
    <row r="820" spans="1:12" ht="15.75" customHeight="1">
      <c r="A820" s="18"/>
      <c r="B820" s="21"/>
      <c r="L820" s="11"/>
    </row>
    <row r="821" spans="1:12" ht="15.75" customHeight="1">
      <c r="A821" s="18"/>
      <c r="B821" s="21"/>
      <c r="L821" s="11"/>
    </row>
    <row r="822" spans="1:12" ht="15.75" customHeight="1">
      <c r="A822" s="18"/>
      <c r="B822" s="21"/>
      <c r="L822" s="11"/>
    </row>
    <row r="823" spans="1:12" ht="15.75" customHeight="1">
      <c r="A823" s="18"/>
      <c r="B823" s="21"/>
      <c r="L823" s="11"/>
    </row>
    <row r="824" spans="1:12" ht="15.75" customHeight="1">
      <c r="A824" s="18"/>
      <c r="B824" s="21"/>
      <c r="L824" s="11"/>
    </row>
    <row r="825" spans="1:12" ht="15.75" customHeight="1">
      <c r="A825" s="18"/>
      <c r="B825" s="21"/>
      <c r="L825" s="11"/>
    </row>
    <row r="826" spans="1:12" ht="15.75" customHeight="1">
      <c r="A826" s="18"/>
      <c r="B826" s="21"/>
      <c r="L826" s="11"/>
    </row>
    <row r="827" spans="1:12" ht="15.75" customHeight="1">
      <c r="A827" s="18"/>
      <c r="B827" s="21"/>
      <c r="L827" s="11"/>
    </row>
    <row r="828" spans="1:12" ht="15.75" customHeight="1">
      <c r="A828" s="18"/>
      <c r="B828" s="21"/>
      <c r="L828" s="11"/>
    </row>
    <row r="829" spans="1:12" ht="15.75" customHeight="1">
      <c r="A829" s="18"/>
      <c r="B829" s="21"/>
      <c r="L829" s="11"/>
    </row>
    <row r="830" spans="1:12" ht="15.75" customHeight="1">
      <c r="A830" s="18"/>
      <c r="B830" s="21"/>
      <c r="L830" s="11"/>
    </row>
    <row r="831" spans="1:12" ht="15.75" customHeight="1">
      <c r="A831" s="18"/>
      <c r="B831" s="21"/>
      <c r="L831" s="11"/>
    </row>
    <row r="832" spans="1:12" ht="15.75" customHeight="1">
      <c r="A832" s="18"/>
      <c r="B832" s="21"/>
      <c r="L832" s="11"/>
    </row>
    <row r="833" spans="1:12" ht="15.75" customHeight="1">
      <c r="A833" s="18"/>
      <c r="B833" s="21"/>
      <c r="L833" s="11"/>
    </row>
    <row r="834" spans="1:12" ht="15.75" customHeight="1">
      <c r="A834" s="18"/>
      <c r="B834" s="21"/>
      <c r="L834" s="11"/>
    </row>
    <row r="835" spans="1:12" ht="15.75" customHeight="1">
      <c r="A835" s="18"/>
      <c r="B835" s="21"/>
      <c r="L835" s="11"/>
    </row>
    <row r="836" spans="1:12" ht="15.75" customHeight="1">
      <c r="A836" s="18"/>
      <c r="B836" s="21"/>
      <c r="L836" s="11"/>
    </row>
    <row r="837" spans="1:12" ht="15.75" customHeight="1">
      <c r="A837" s="18"/>
      <c r="B837" s="21"/>
      <c r="L837" s="11"/>
    </row>
    <row r="838" spans="1:12" ht="15.75" customHeight="1">
      <c r="A838" s="18"/>
      <c r="B838" s="21"/>
      <c r="L838" s="11"/>
    </row>
    <row r="839" spans="1:12" ht="15.75" customHeight="1">
      <c r="A839" s="18"/>
      <c r="B839" s="21"/>
      <c r="L839" s="11"/>
    </row>
    <row r="840" spans="1:12" ht="15.75" customHeight="1">
      <c r="A840" s="18"/>
      <c r="B840" s="21"/>
      <c r="L840" s="11"/>
    </row>
    <row r="841" spans="1:12" ht="15.75" customHeight="1">
      <c r="A841" s="18"/>
      <c r="B841" s="21"/>
      <c r="L841" s="11"/>
    </row>
    <row r="842" spans="1:12" ht="15.75" customHeight="1">
      <c r="A842" s="18"/>
      <c r="B842" s="21"/>
      <c r="L842" s="11"/>
    </row>
    <row r="843" spans="1:12" ht="15.75" customHeight="1">
      <c r="A843" s="18"/>
      <c r="B843" s="21"/>
      <c r="L843" s="11"/>
    </row>
    <row r="844" spans="1:12" ht="15.75" customHeight="1">
      <c r="A844" s="18"/>
      <c r="B844" s="21"/>
      <c r="L844" s="11"/>
    </row>
    <row r="845" spans="1:12" ht="15.75" customHeight="1">
      <c r="A845" s="18"/>
      <c r="B845" s="21"/>
      <c r="L845" s="11"/>
    </row>
    <row r="846" spans="1:12" ht="15.75" customHeight="1">
      <c r="A846" s="18"/>
      <c r="B846" s="21"/>
      <c r="L846" s="11"/>
    </row>
    <row r="847" spans="1:12" ht="15.75" customHeight="1">
      <c r="A847" s="18"/>
      <c r="B847" s="21"/>
      <c r="L847" s="11"/>
    </row>
    <row r="848" spans="1:12" ht="15.75" customHeight="1">
      <c r="A848" s="18"/>
      <c r="B848" s="21"/>
      <c r="L848" s="11"/>
    </row>
    <row r="849" spans="1:12" ht="15.75" customHeight="1">
      <c r="A849" s="18"/>
      <c r="B849" s="21"/>
      <c r="L849" s="11"/>
    </row>
    <row r="850" spans="1:12" ht="15.75" customHeight="1">
      <c r="A850" s="18"/>
      <c r="B850" s="21"/>
      <c r="L850" s="11"/>
    </row>
    <row r="851" spans="1:12" ht="15.75" customHeight="1">
      <c r="A851" s="18"/>
      <c r="B851" s="21"/>
      <c r="L851" s="11"/>
    </row>
    <row r="852" spans="1:12" ht="15.75" customHeight="1">
      <c r="A852" s="18"/>
      <c r="B852" s="21"/>
      <c r="L852" s="11"/>
    </row>
    <row r="853" spans="1:12" ht="15.75" customHeight="1">
      <c r="A853" s="18"/>
      <c r="B853" s="21"/>
      <c r="L853" s="11"/>
    </row>
    <row r="854" spans="1:12" ht="15.75" customHeight="1">
      <c r="A854" s="18"/>
      <c r="B854" s="21"/>
      <c r="L854" s="11"/>
    </row>
    <row r="855" spans="1:12" ht="15.75" customHeight="1">
      <c r="A855" s="18"/>
      <c r="B855" s="21"/>
      <c r="L855" s="11"/>
    </row>
    <row r="856" spans="1:12" ht="15.75" customHeight="1">
      <c r="A856" s="18"/>
      <c r="B856" s="21"/>
      <c r="L856" s="11"/>
    </row>
    <row r="857" spans="1:12" ht="15.75" customHeight="1">
      <c r="A857" s="18"/>
      <c r="B857" s="21"/>
      <c r="L857" s="11"/>
    </row>
    <row r="858" spans="1:12" ht="15.75" customHeight="1">
      <c r="A858" s="18"/>
      <c r="B858" s="21"/>
      <c r="L858" s="11"/>
    </row>
    <row r="859" spans="1:12" ht="15.75" customHeight="1">
      <c r="A859" s="18"/>
      <c r="B859" s="21"/>
      <c r="L859" s="11"/>
    </row>
    <row r="860" spans="1:12" ht="15.75" customHeight="1">
      <c r="A860" s="18"/>
      <c r="B860" s="21"/>
      <c r="L860" s="11"/>
    </row>
    <row r="861" spans="1:12" ht="15.75" customHeight="1">
      <c r="A861" s="18"/>
      <c r="B861" s="21"/>
      <c r="L861" s="11"/>
    </row>
    <row r="862" spans="1:12" ht="15.75" customHeight="1">
      <c r="A862" s="18"/>
      <c r="B862" s="21"/>
      <c r="L862" s="11"/>
    </row>
    <row r="863" spans="1:12" ht="15.75" customHeight="1">
      <c r="A863" s="18"/>
      <c r="B863" s="21"/>
      <c r="L863" s="11"/>
    </row>
    <row r="864" spans="1:12" ht="15.75" customHeight="1">
      <c r="A864" s="18"/>
      <c r="B864" s="21"/>
      <c r="L864" s="11"/>
    </row>
    <row r="865" spans="1:12" ht="15.75" customHeight="1">
      <c r="A865" s="18"/>
      <c r="B865" s="21"/>
      <c r="L865" s="11"/>
    </row>
    <row r="866" spans="1:12" ht="15.75" customHeight="1">
      <c r="A866" s="18"/>
      <c r="B866" s="21"/>
      <c r="L866" s="11"/>
    </row>
    <row r="867" spans="1:12" ht="15.75" customHeight="1">
      <c r="A867" s="18"/>
      <c r="B867" s="21"/>
      <c r="L867" s="11"/>
    </row>
    <row r="868" spans="1:12" ht="15.75" customHeight="1">
      <c r="A868" s="18"/>
      <c r="B868" s="21"/>
      <c r="L868" s="11"/>
    </row>
    <row r="869" spans="1:12" ht="15.75" customHeight="1">
      <c r="A869" s="18"/>
      <c r="B869" s="21"/>
      <c r="L869" s="11"/>
    </row>
    <row r="870" spans="1:12" ht="15.75" customHeight="1">
      <c r="A870" s="18"/>
      <c r="B870" s="21"/>
      <c r="L870" s="11"/>
    </row>
    <row r="871" spans="1:12" ht="15.75" customHeight="1">
      <c r="A871" s="18"/>
      <c r="B871" s="21"/>
      <c r="L871" s="11"/>
    </row>
    <row r="872" spans="1:12" ht="15.75" customHeight="1">
      <c r="A872" s="18"/>
      <c r="B872" s="21"/>
      <c r="L872" s="11"/>
    </row>
    <row r="873" spans="1:12" ht="15.75" customHeight="1">
      <c r="A873" s="18"/>
      <c r="B873" s="21"/>
      <c r="L873" s="11"/>
    </row>
    <row r="874" spans="1:12" ht="15.75" customHeight="1">
      <c r="A874" s="18"/>
      <c r="B874" s="21"/>
      <c r="L874" s="11"/>
    </row>
    <row r="875" spans="1:12" ht="15.75" customHeight="1">
      <c r="A875" s="18"/>
      <c r="B875" s="21"/>
      <c r="L875" s="11"/>
    </row>
    <row r="876" spans="1:12" ht="15.75" customHeight="1">
      <c r="A876" s="18"/>
      <c r="B876" s="21"/>
      <c r="L876" s="11"/>
    </row>
    <row r="877" spans="1:12" ht="15.75" customHeight="1">
      <c r="A877" s="18"/>
      <c r="B877" s="21"/>
      <c r="L877" s="11"/>
    </row>
    <row r="878" spans="1:12" ht="15.75" customHeight="1">
      <c r="A878" s="18"/>
      <c r="B878" s="21"/>
      <c r="L878" s="11"/>
    </row>
    <row r="879" spans="1:12" ht="15.75" customHeight="1">
      <c r="A879" s="18"/>
      <c r="B879" s="21"/>
      <c r="L879" s="11"/>
    </row>
    <row r="880" spans="1:12" ht="15.75" customHeight="1">
      <c r="A880" s="18"/>
      <c r="B880" s="21"/>
      <c r="L880" s="11"/>
    </row>
    <row r="881" spans="1:12" ht="15.75" customHeight="1">
      <c r="A881" s="18"/>
      <c r="B881" s="21"/>
      <c r="L881" s="11"/>
    </row>
    <row r="882" spans="1:12" ht="15.75" customHeight="1">
      <c r="A882" s="18"/>
      <c r="B882" s="21"/>
      <c r="L882" s="11"/>
    </row>
    <row r="883" spans="1:12" ht="15.75" customHeight="1">
      <c r="A883" s="18"/>
      <c r="B883" s="21"/>
      <c r="L883" s="11"/>
    </row>
    <row r="884" spans="1:12" ht="15.75" customHeight="1">
      <c r="A884" s="18"/>
      <c r="B884" s="21"/>
      <c r="L884" s="11"/>
    </row>
    <row r="885" spans="1:12" ht="15.75" customHeight="1">
      <c r="A885" s="18"/>
      <c r="B885" s="21"/>
      <c r="L885" s="11"/>
    </row>
    <row r="886" spans="1:12" ht="15.75" customHeight="1">
      <c r="A886" s="18"/>
      <c r="B886" s="21"/>
      <c r="L886" s="11"/>
    </row>
    <row r="887" spans="1:12" ht="15.75" customHeight="1">
      <c r="A887" s="18"/>
      <c r="B887" s="21"/>
      <c r="L887" s="11"/>
    </row>
    <row r="888" spans="1:12" ht="15.75" customHeight="1">
      <c r="A888" s="18"/>
      <c r="B888" s="21"/>
      <c r="L888" s="11"/>
    </row>
    <row r="889" spans="1:12" ht="15.75" customHeight="1">
      <c r="A889" s="18"/>
      <c r="B889" s="21"/>
      <c r="L889" s="11"/>
    </row>
    <row r="890" spans="1:12" ht="15.75" customHeight="1">
      <c r="A890" s="18"/>
      <c r="B890" s="21"/>
      <c r="L890" s="11"/>
    </row>
    <row r="891" spans="1:12" ht="15.75" customHeight="1">
      <c r="A891" s="18"/>
      <c r="B891" s="21"/>
      <c r="L891" s="11"/>
    </row>
    <row r="892" spans="1:12" ht="15.75" customHeight="1">
      <c r="A892" s="18"/>
      <c r="B892" s="21"/>
      <c r="L892" s="11"/>
    </row>
    <row r="893" spans="1:12" ht="15.75" customHeight="1">
      <c r="A893" s="18"/>
      <c r="B893" s="21"/>
      <c r="L893" s="11"/>
    </row>
    <row r="894" spans="1:12" ht="15.75" customHeight="1">
      <c r="A894" s="18"/>
      <c r="B894" s="21"/>
      <c r="L894" s="11"/>
    </row>
    <row r="895" spans="1:12" ht="15.75" customHeight="1">
      <c r="A895" s="18"/>
      <c r="B895" s="21"/>
      <c r="L895" s="11"/>
    </row>
    <row r="896" spans="1:12" ht="15.75" customHeight="1">
      <c r="A896" s="18"/>
      <c r="B896" s="21"/>
      <c r="L896" s="11"/>
    </row>
    <row r="897" spans="1:12" ht="15.75" customHeight="1">
      <c r="A897" s="18"/>
      <c r="B897" s="21"/>
      <c r="L897" s="11"/>
    </row>
    <row r="898" spans="1:12" ht="15.75" customHeight="1">
      <c r="A898" s="18"/>
      <c r="B898" s="21"/>
      <c r="L898" s="11"/>
    </row>
    <row r="899" spans="1:12" ht="15.75" customHeight="1">
      <c r="A899" s="18"/>
      <c r="B899" s="21"/>
      <c r="L899" s="11"/>
    </row>
    <row r="900" spans="1:12" ht="15.75" customHeight="1">
      <c r="A900" s="18"/>
      <c r="B900" s="21"/>
      <c r="L900" s="11"/>
    </row>
    <row r="901" spans="1:12" ht="15.75" customHeight="1">
      <c r="A901" s="18"/>
      <c r="B901" s="21"/>
      <c r="L901" s="11"/>
    </row>
    <row r="902" spans="1:12" ht="15.75" customHeight="1">
      <c r="A902" s="18"/>
      <c r="B902" s="21"/>
      <c r="L902" s="11"/>
    </row>
    <row r="903" spans="1:12" ht="15.75" customHeight="1">
      <c r="A903" s="18"/>
      <c r="B903" s="21"/>
      <c r="L903" s="11"/>
    </row>
    <row r="904" spans="1:12" ht="15.75" customHeight="1">
      <c r="A904" s="18"/>
      <c r="B904" s="21"/>
      <c r="L904" s="11"/>
    </row>
    <row r="905" spans="1:12" ht="15.75" customHeight="1">
      <c r="A905" s="18"/>
      <c r="B905" s="21"/>
      <c r="L905" s="11"/>
    </row>
    <row r="906" spans="1:12" ht="15.75" customHeight="1">
      <c r="A906" s="18"/>
      <c r="B906" s="21"/>
      <c r="L906" s="11"/>
    </row>
    <row r="907" spans="1:12" ht="15.75" customHeight="1">
      <c r="A907" s="18"/>
      <c r="B907" s="21"/>
      <c r="L907" s="11"/>
    </row>
    <row r="908" spans="1:12" ht="15.75" customHeight="1">
      <c r="A908" s="18"/>
      <c r="B908" s="21"/>
      <c r="L908" s="11"/>
    </row>
    <row r="909" spans="1:12" ht="15.75" customHeight="1">
      <c r="A909" s="18"/>
      <c r="B909" s="21"/>
      <c r="L909" s="11"/>
    </row>
    <row r="910" spans="1:12" ht="15.75" customHeight="1">
      <c r="A910" s="18"/>
      <c r="B910" s="21"/>
      <c r="L910" s="11"/>
    </row>
    <row r="911" spans="1:12" ht="15.75" customHeight="1">
      <c r="A911" s="18"/>
      <c r="B911" s="21"/>
      <c r="L911" s="11"/>
    </row>
    <row r="912" spans="1:12" ht="15.75" customHeight="1">
      <c r="A912" s="18"/>
      <c r="B912" s="21"/>
      <c r="L912" s="11"/>
    </row>
    <row r="913" spans="1:12" ht="15.75" customHeight="1">
      <c r="A913" s="18"/>
      <c r="B913" s="21"/>
      <c r="L913" s="11"/>
    </row>
    <row r="914" spans="1:12" ht="15.75" customHeight="1">
      <c r="A914" s="18"/>
      <c r="B914" s="21"/>
      <c r="L914" s="11"/>
    </row>
    <row r="915" spans="1:12" ht="15.75" customHeight="1">
      <c r="A915" s="18"/>
      <c r="B915" s="21"/>
      <c r="L915" s="11"/>
    </row>
    <row r="916" spans="1:12" ht="15.75" customHeight="1">
      <c r="A916" s="18"/>
      <c r="B916" s="21"/>
      <c r="L916" s="11"/>
    </row>
    <row r="917" spans="1:12" ht="15.75" customHeight="1">
      <c r="A917" s="18"/>
      <c r="B917" s="21"/>
      <c r="L917" s="11"/>
    </row>
    <row r="918" spans="1:12" ht="15.75" customHeight="1">
      <c r="A918" s="18"/>
      <c r="B918" s="21"/>
      <c r="L918" s="11"/>
    </row>
    <row r="919" spans="1:12" ht="15.75" customHeight="1">
      <c r="A919" s="18"/>
      <c r="B919" s="21"/>
      <c r="L919" s="11"/>
    </row>
    <row r="920" spans="1:12" ht="15.75" customHeight="1">
      <c r="A920" s="18"/>
      <c r="B920" s="21"/>
      <c r="L920" s="11"/>
    </row>
    <row r="921" spans="1:12" ht="15.75" customHeight="1">
      <c r="A921" s="18"/>
      <c r="B921" s="21"/>
      <c r="L921" s="11"/>
    </row>
    <row r="922" spans="1:12" ht="15.75" customHeight="1">
      <c r="A922" s="18"/>
      <c r="B922" s="21"/>
      <c r="L922" s="11"/>
    </row>
    <row r="923" spans="1:12" ht="15.75" customHeight="1">
      <c r="A923" s="18"/>
      <c r="B923" s="21"/>
      <c r="L923" s="11"/>
    </row>
    <row r="924" spans="1:12" ht="15.75" customHeight="1">
      <c r="A924" s="18"/>
      <c r="B924" s="21"/>
      <c r="L924" s="11"/>
    </row>
    <row r="925" spans="1:12" ht="15.75" customHeight="1">
      <c r="A925" s="18"/>
      <c r="B925" s="21"/>
      <c r="L925" s="11"/>
    </row>
    <row r="926" spans="1:12" ht="15.75" customHeight="1">
      <c r="A926" s="18"/>
      <c r="B926" s="21"/>
      <c r="L926" s="11"/>
    </row>
    <row r="927" spans="1:12" ht="15.75" customHeight="1">
      <c r="A927" s="18"/>
      <c r="B927" s="21"/>
      <c r="L927" s="11"/>
    </row>
    <row r="928" spans="1:12" ht="15.75" customHeight="1">
      <c r="A928" s="18"/>
      <c r="B928" s="21"/>
      <c r="L928" s="11"/>
    </row>
    <row r="929" spans="1:12" ht="15.75" customHeight="1">
      <c r="A929" s="18"/>
      <c r="B929" s="21"/>
      <c r="L929" s="11"/>
    </row>
    <row r="930" spans="1:12" ht="15.75" customHeight="1">
      <c r="A930" s="18"/>
      <c r="B930" s="21"/>
      <c r="L930" s="11"/>
    </row>
    <row r="931" spans="1:12" ht="15.75" customHeight="1">
      <c r="A931" s="18"/>
      <c r="B931" s="21"/>
      <c r="L931" s="11"/>
    </row>
    <row r="932" spans="1:12" ht="15.75" customHeight="1">
      <c r="A932" s="18"/>
      <c r="B932" s="21"/>
      <c r="L932" s="11"/>
    </row>
    <row r="933" spans="1:12" ht="15.75" customHeight="1">
      <c r="A933" s="18"/>
      <c r="B933" s="21"/>
      <c r="L933" s="11"/>
    </row>
    <row r="934" spans="1:12" ht="15.75" customHeight="1">
      <c r="A934" s="18"/>
      <c r="B934" s="21"/>
      <c r="L934" s="11"/>
    </row>
    <row r="935" spans="1:12" ht="15.75" customHeight="1">
      <c r="A935" s="18"/>
      <c r="B935" s="21"/>
      <c r="L935" s="11"/>
    </row>
    <row r="936" spans="1:12" ht="15.75" customHeight="1">
      <c r="A936" s="18"/>
      <c r="B936" s="21"/>
      <c r="L936" s="11"/>
    </row>
    <row r="937" spans="1:12" ht="15.75" customHeight="1">
      <c r="A937" s="18"/>
      <c r="B937" s="21"/>
      <c r="L937" s="11"/>
    </row>
    <row r="938" spans="1:12" ht="15.75" customHeight="1">
      <c r="A938" s="18"/>
      <c r="B938" s="21"/>
      <c r="L938" s="11"/>
    </row>
    <row r="939" spans="1:12" ht="15.75" customHeight="1">
      <c r="A939" s="18"/>
      <c r="B939" s="21"/>
      <c r="L939" s="11"/>
    </row>
    <row r="940" spans="1:12" ht="15.75" customHeight="1">
      <c r="A940" s="18"/>
      <c r="B940" s="21"/>
      <c r="L940" s="11"/>
    </row>
    <row r="941" spans="1:12" ht="15.75" customHeight="1">
      <c r="A941" s="18"/>
      <c r="B941" s="21"/>
      <c r="L941" s="11"/>
    </row>
    <row r="942" spans="1:12" ht="15.75" customHeight="1">
      <c r="A942" s="18"/>
      <c r="B942" s="21"/>
      <c r="L942" s="11"/>
    </row>
    <row r="943" spans="1:12" ht="15.75" customHeight="1">
      <c r="A943" s="18"/>
      <c r="B943" s="21"/>
      <c r="L943" s="11"/>
    </row>
    <row r="944" spans="1:12" ht="15.75" customHeight="1">
      <c r="A944" s="18"/>
      <c r="B944" s="21"/>
      <c r="L944" s="11"/>
    </row>
    <row r="945" spans="1:12" ht="15.75" customHeight="1">
      <c r="A945" s="18"/>
      <c r="B945" s="21"/>
      <c r="L945" s="11"/>
    </row>
    <row r="946" spans="1:12" ht="15.75" customHeight="1">
      <c r="A946" s="18"/>
      <c r="B946" s="21"/>
      <c r="L946" s="11"/>
    </row>
    <row r="947" spans="1:12" ht="15.75" customHeight="1">
      <c r="A947" s="18"/>
      <c r="B947" s="21"/>
      <c r="L947" s="11"/>
    </row>
    <row r="948" spans="1:12" ht="15.75" customHeight="1">
      <c r="A948" s="18"/>
      <c r="B948" s="21"/>
      <c r="L948" s="11"/>
    </row>
    <row r="949" spans="1:12" ht="15.75" customHeight="1">
      <c r="A949" s="18"/>
      <c r="B949" s="21"/>
      <c r="L949" s="11"/>
    </row>
    <row r="950" spans="1:12" ht="15.75" customHeight="1">
      <c r="A950" s="18"/>
      <c r="B950" s="21"/>
      <c r="L950" s="11"/>
    </row>
    <row r="951" spans="1:12" ht="15.75" customHeight="1">
      <c r="A951" s="18"/>
      <c r="B951" s="21"/>
      <c r="L951" s="11"/>
    </row>
    <row r="952" spans="1:12" ht="15.75" customHeight="1">
      <c r="A952" s="18"/>
      <c r="B952" s="21"/>
      <c r="L952" s="11"/>
    </row>
    <row r="953" spans="1:12" ht="15.75" customHeight="1">
      <c r="A953" s="18"/>
      <c r="B953" s="21"/>
      <c r="L953" s="11"/>
    </row>
    <row r="954" spans="1:12" ht="15.75" customHeight="1">
      <c r="A954" s="18"/>
      <c r="B954" s="21"/>
      <c r="L954" s="11"/>
    </row>
    <row r="955" spans="1:12" ht="15.75" customHeight="1">
      <c r="A955" s="18"/>
      <c r="B955" s="21"/>
      <c r="L955" s="11"/>
    </row>
    <row r="956" spans="1:12" ht="15.75" customHeight="1">
      <c r="A956" s="18"/>
      <c r="B956" s="21"/>
      <c r="L956" s="11"/>
    </row>
    <row r="957" spans="1:12" ht="15.75" customHeight="1">
      <c r="A957" s="18"/>
      <c r="B957" s="21"/>
      <c r="L957" s="11"/>
    </row>
    <row r="958" spans="1:12" ht="15.75" customHeight="1">
      <c r="A958" s="18"/>
      <c r="B958" s="21"/>
      <c r="L958" s="11"/>
    </row>
    <row r="959" spans="1:12" ht="15.75" customHeight="1">
      <c r="A959" s="18"/>
      <c r="B959" s="21"/>
      <c r="L959" s="11"/>
    </row>
    <row r="960" spans="1:12" ht="15.75" customHeight="1">
      <c r="A960" s="18"/>
      <c r="B960" s="21"/>
      <c r="L960" s="11"/>
    </row>
    <row r="961" spans="1:12" ht="15.75" customHeight="1">
      <c r="A961" s="18"/>
      <c r="B961" s="21"/>
      <c r="L961" s="11"/>
    </row>
    <row r="962" spans="1:12" ht="15.75" customHeight="1">
      <c r="A962" s="18"/>
      <c r="B962" s="21"/>
      <c r="L962" s="11"/>
    </row>
    <row r="963" spans="1:12" ht="15.75" customHeight="1">
      <c r="A963" s="18"/>
      <c r="B963" s="21"/>
      <c r="L963" s="11"/>
    </row>
    <row r="964" spans="1:12" ht="15.75" customHeight="1">
      <c r="A964" s="18"/>
      <c r="B964" s="21"/>
      <c r="L964" s="11"/>
    </row>
    <row r="965" spans="1:12" ht="15.75" customHeight="1">
      <c r="A965" s="18"/>
      <c r="B965" s="21"/>
      <c r="L965" s="11"/>
    </row>
    <row r="966" spans="1:12" ht="15.75" customHeight="1">
      <c r="A966" s="18"/>
      <c r="B966" s="21"/>
      <c r="L966" s="11"/>
    </row>
    <row r="967" spans="1:12" ht="15.75" customHeight="1">
      <c r="A967" s="18"/>
      <c r="B967" s="21"/>
      <c r="L967" s="11"/>
    </row>
    <row r="968" spans="1:12" ht="15.75" customHeight="1">
      <c r="A968" s="18"/>
      <c r="B968" s="21"/>
      <c r="L968" s="11"/>
    </row>
    <row r="969" spans="1:12" ht="15.75" customHeight="1">
      <c r="A969" s="18"/>
      <c r="B969" s="21"/>
      <c r="L969" s="11"/>
    </row>
    <row r="970" spans="1:12" ht="15.75" customHeight="1">
      <c r="A970" s="18"/>
      <c r="B970" s="21"/>
      <c r="L970" s="11"/>
    </row>
    <row r="971" spans="1:12" ht="15.75" customHeight="1">
      <c r="A971" s="18"/>
      <c r="B971" s="21"/>
      <c r="L971" s="11"/>
    </row>
    <row r="972" spans="1:12" ht="15.75" customHeight="1">
      <c r="A972" s="18"/>
      <c r="B972" s="21"/>
      <c r="L972" s="11"/>
    </row>
    <row r="973" spans="1:12" ht="15.75" customHeight="1">
      <c r="A973" s="18"/>
      <c r="B973" s="21"/>
      <c r="L973" s="11"/>
    </row>
    <row r="974" spans="1:12" ht="15.75" customHeight="1">
      <c r="A974" s="18"/>
      <c r="B974" s="21"/>
      <c r="L974" s="11"/>
    </row>
    <row r="975" spans="1:12" ht="15.75" customHeight="1">
      <c r="A975" s="18"/>
      <c r="B975" s="21"/>
      <c r="L975" s="11"/>
    </row>
    <row r="976" spans="1:12" ht="15.75" customHeight="1">
      <c r="A976" s="18"/>
      <c r="B976" s="21"/>
      <c r="L976" s="11"/>
    </row>
    <row r="977" spans="1:12" ht="15.75" customHeight="1">
      <c r="A977" s="18"/>
      <c r="B977" s="21"/>
      <c r="L977" s="11"/>
    </row>
    <row r="978" spans="1:12" ht="15.75" customHeight="1">
      <c r="A978" s="18"/>
      <c r="B978" s="21"/>
      <c r="L978" s="11"/>
    </row>
    <row r="979" spans="1:12" ht="15.75" customHeight="1">
      <c r="A979" s="18"/>
      <c r="B979" s="21"/>
      <c r="L979" s="11"/>
    </row>
    <row r="980" spans="1:12" ht="15.75" customHeight="1">
      <c r="A980" s="18"/>
      <c r="B980" s="21"/>
      <c r="L980" s="11"/>
    </row>
    <row r="981" spans="1:12" ht="15.75" customHeight="1">
      <c r="A981" s="18"/>
      <c r="B981" s="21"/>
      <c r="L981" s="11"/>
    </row>
    <row r="982" spans="1:12" ht="15.75" customHeight="1">
      <c r="A982" s="18"/>
      <c r="B982" s="21"/>
      <c r="L982" s="11"/>
    </row>
    <row r="983" spans="1:12" ht="15.75" customHeight="1">
      <c r="A983" s="18"/>
      <c r="B983" s="21"/>
      <c r="L983" s="11"/>
    </row>
    <row r="984" spans="1:12" ht="15.75" customHeight="1">
      <c r="A984" s="18"/>
      <c r="B984" s="21"/>
      <c r="L984" s="11"/>
    </row>
    <row r="985" spans="1:12" ht="15.75" customHeight="1">
      <c r="A985" s="18"/>
      <c r="B985" s="21"/>
      <c r="L985" s="11"/>
    </row>
    <row r="986" spans="1:12" ht="15.75" customHeight="1">
      <c r="A986" s="18"/>
      <c r="B986" s="21"/>
      <c r="L986" s="11"/>
    </row>
    <row r="987" spans="1:12" ht="15.75" customHeight="1">
      <c r="A987" s="18"/>
      <c r="B987" s="21"/>
      <c r="L987" s="11"/>
    </row>
    <row r="988" spans="1:12" ht="15.75" customHeight="1">
      <c r="A988" s="18"/>
      <c r="B988" s="21"/>
      <c r="L988" s="11"/>
    </row>
    <row r="989" spans="1:12" ht="15.75" customHeight="1">
      <c r="A989" s="18"/>
      <c r="B989" s="21"/>
      <c r="L989" s="11"/>
    </row>
    <row r="990" spans="1:12" ht="15.75" customHeight="1">
      <c r="A990" s="18"/>
      <c r="B990" s="21"/>
      <c r="L990" s="11"/>
    </row>
    <row r="991" spans="1:12" ht="15.75" customHeight="1">
      <c r="A991" s="18"/>
      <c r="B991" s="21"/>
      <c r="L991" s="11"/>
    </row>
    <row r="992" spans="1:12" ht="15.75" customHeight="1">
      <c r="A992" s="18"/>
      <c r="B992" s="21"/>
      <c r="L992" s="11"/>
    </row>
    <row r="993" spans="1:12" ht="15.75" customHeight="1">
      <c r="A993" s="18"/>
      <c r="B993" s="21"/>
      <c r="L993" s="11"/>
    </row>
    <row r="994" spans="1:12" ht="15.75" customHeight="1">
      <c r="A994" s="18"/>
      <c r="B994" s="21"/>
      <c r="L994" s="11"/>
    </row>
    <row r="995" spans="1:12" ht="15.75" customHeight="1">
      <c r="A995" s="18"/>
      <c r="B995" s="21"/>
      <c r="L995" s="11"/>
    </row>
    <row r="996" spans="1:12" ht="15.75" customHeight="1">
      <c r="A996" s="18"/>
      <c r="B996" s="21"/>
      <c r="L996" s="11"/>
    </row>
    <row r="997" spans="1:12" ht="15.75" customHeight="1">
      <c r="A997" s="18"/>
      <c r="B997" s="21"/>
      <c r="L997" s="11"/>
    </row>
    <row r="998" spans="1:12" ht="15.75" customHeight="1">
      <c r="A998" s="18"/>
      <c r="B998" s="21"/>
      <c r="L998" s="11"/>
    </row>
    <row r="999" spans="1:12" ht="15.75" customHeight="1">
      <c r="A999" s="18"/>
      <c r="B999" s="21"/>
      <c r="L999" s="11"/>
    </row>
    <row r="1000" spans="1:12" ht="15.75" customHeight="1">
      <c r="A1000" s="18"/>
      <c r="B1000" s="21"/>
      <c r="L1000" s="11"/>
    </row>
    <row r="1001" spans="1:12" ht="15.75" customHeight="1">
      <c r="A1001" s="18"/>
      <c r="B1001" s="21"/>
      <c r="L1001" s="11"/>
    </row>
    <row r="1002" spans="1:12" ht="15.75" customHeight="1">
      <c r="A1002" s="18"/>
      <c r="B1002" s="21"/>
      <c r="L1002" s="11"/>
    </row>
    <row r="1003" spans="1:12" ht="15.75" customHeight="1">
      <c r="A1003" s="18"/>
      <c r="B1003" s="21"/>
      <c r="L1003" s="11"/>
    </row>
    <row r="1004" spans="1:12" ht="15.75" customHeight="1">
      <c r="A1004" s="18"/>
      <c r="B1004" s="21"/>
      <c r="L1004" s="11"/>
    </row>
    <row r="1005" spans="1:12" ht="15.75" customHeight="1">
      <c r="A1005" s="18"/>
      <c r="B1005" s="21"/>
      <c r="L1005" s="11"/>
    </row>
    <row r="1006" spans="1:12" ht="15.75" customHeight="1">
      <c r="A1006" s="18"/>
      <c r="B1006" s="21"/>
      <c r="L1006" s="11"/>
    </row>
    <row r="1007" spans="1:12" ht="15.75" customHeight="1">
      <c r="A1007" s="18"/>
      <c r="B1007" s="21"/>
      <c r="L1007" s="11"/>
    </row>
    <row r="1008" spans="1:12" ht="15.75" customHeight="1">
      <c r="A1008" s="18"/>
      <c r="B1008" s="21"/>
      <c r="L1008" s="11"/>
    </row>
    <row r="1009" spans="1:12" ht="15.75" customHeight="1">
      <c r="A1009" s="18"/>
      <c r="B1009" s="21"/>
      <c r="L1009" s="11"/>
    </row>
    <row r="1010" spans="1:12" ht="15.75" customHeight="1">
      <c r="A1010" s="18"/>
      <c r="B1010" s="21"/>
      <c r="L1010" s="11"/>
    </row>
    <row r="1011" spans="1:12" ht="15.75" customHeight="1">
      <c r="A1011" s="18"/>
      <c r="B1011" s="21"/>
      <c r="L1011" s="11"/>
    </row>
  </sheetData>
  <mergeCells count="5">
    <mergeCell ref="A1:G1"/>
    <mergeCell ref="C3:G3"/>
    <mergeCell ref="H3:L3"/>
    <mergeCell ref="A3:A4"/>
    <mergeCell ref="B3:B4"/>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047E01-A25E-4462-B41B-391FA8E05BD2}">
  <dimension ref="A13:M13"/>
  <sheetViews>
    <sheetView topLeftCell="A16" workbookViewId="0">
      <selection activeCell="A17" sqref="A17:A19"/>
    </sheetView>
  </sheetViews>
  <sheetFormatPr defaultRowHeight="15"/>
  <cols>
    <col min="9" max="9" width="73.7109375" customWidth="1"/>
  </cols>
  <sheetData>
    <row r="13" spans="1:13" ht="399">
      <c r="A13" s="30">
        <v>38</v>
      </c>
      <c r="B13" s="30" t="s">
        <v>154</v>
      </c>
      <c r="C13" s="74" t="s">
        <v>154</v>
      </c>
      <c r="D13" s="30" t="s">
        <v>48</v>
      </c>
      <c r="E13" s="30"/>
      <c r="F13" s="30" t="s">
        <v>13</v>
      </c>
      <c r="G13" s="30" t="s">
        <v>66</v>
      </c>
      <c r="H13" s="30" t="s">
        <v>101</v>
      </c>
      <c r="I13" s="30" t="s">
        <v>82</v>
      </c>
      <c r="J13" s="30" t="s">
        <v>151</v>
      </c>
      <c r="K13" s="30" t="s">
        <v>152</v>
      </c>
      <c r="L13" s="30" t="s">
        <v>153</v>
      </c>
      <c r="M13" s="30"/>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0AF174-C6B9-47EA-A85C-1576968E5F6B}">
  <dimension ref="A1:K28"/>
  <sheetViews>
    <sheetView tabSelected="1" topLeftCell="E13" workbookViewId="0">
      <selection activeCell="L33" sqref="L33"/>
    </sheetView>
  </sheetViews>
  <sheetFormatPr defaultRowHeight="15"/>
  <cols>
    <col min="1" max="1" width="64.140625" customWidth="1"/>
    <col min="2" max="2" width="10.28515625" customWidth="1"/>
    <col min="6" max="6" width="19.140625" customWidth="1"/>
    <col min="7" max="7" width="11" customWidth="1"/>
    <col min="8" max="8" width="9.7109375" bestFit="1" customWidth="1"/>
    <col min="9" max="9" width="14.7109375" customWidth="1"/>
    <col min="11" max="11" width="9.7109375" bestFit="1" customWidth="1"/>
  </cols>
  <sheetData>
    <row r="1" spans="1:6">
      <c r="A1" t="s">
        <v>381</v>
      </c>
      <c r="B1" t="s">
        <v>382</v>
      </c>
    </row>
    <row r="2" spans="1:6">
      <c r="A2" s="92" t="s">
        <v>8</v>
      </c>
      <c r="B2">
        <v>30</v>
      </c>
    </row>
    <row r="3" spans="1:6">
      <c r="A3" s="92" t="s">
        <v>21</v>
      </c>
      <c r="B3">
        <v>20</v>
      </c>
    </row>
    <row r="4" spans="1:6">
      <c r="A4" s="92" t="s">
        <v>45</v>
      </c>
      <c r="B4">
        <v>40</v>
      </c>
      <c r="F4" s="94"/>
    </row>
    <row r="5" spans="1:6">
      <c r="A5" s="92" t="s">
        <v>59</v>
      </c>
      <c r="B5">
        <v>50</v>
      </c>
      <c r="F5" s="94"/>
    </row>
    <row r="6" spans="1:6" ht="28.5">
      <c r="A6" s="92" t="s">
        <v>68</v>
      </c>
      <c r="B6">
        <v>20</v>
      </c>
      <c r="F6" s="94"/>
    </row>
    <row r="7" spans="1:6">
      <c r="A7" s="92" t="s">
        <v>101</v>
      </c>
      <c r="B7">
        <v>40</v>
      </c>
      <c r="F7" s="94"/>
    </row>
    <row r="8" spans="1:6" ht="28.5">
      <c r="A8" s="92" t="s">
        <v>111</v>
      </c>
      <c r="B8">
        <v>30</v>
      </c>
      <c r="F8" s="94"/>
    </row>
    <row r="9" spans="1:6">
      <c r="F9" s="94"/>
    </row>
    <row r="10" spans="1:6">
      <c r="F10" s="94"/>
    </row>
    <row r="11" spans="1:6">
      <c r="F11" s="94"/>
    </row>
    <row r="12" spans="1:6">
      <c r="F12" s="94"/>
    </row>
    <row r="13" spans="1:6">
      <c r="F13" s="94"/>
    </row>
    <row r="14" spans="1:6">
      <c r="F14" s="94"/>
    </row>
    <row r="15" spans="1:6">
      <c r="F15" s="94"/>
    </row>
    <row r="22" spans="6:11">
      <c r="F22" t="s">
        <v>392</v>
      </c>
      <c r="G22" t="s">
        <v>393</v>
      </c>
      <c r="H22" t="s">
        <v>394</v>
      </c>
    </row>
    <row r="23" spans="6:11">
      <c r="F23">
        <v>202320241</v>
      </c>
      <c r="G23" s="104">
        <v>45200</v>
      </c>
      <c r="H23" s="104">
        <v>45367</v>
      </c>
    </row>
    <row r="24" spans="6:11">
      <c r="F24" s="94">
        <v>202320242</v>
      </c>
      <c r="G24" s="104">
        <v>45368</v>
      </c>
      <c r="H24" s="104">
        <v>45501</v>
      </c>
    </row>
    <row r="25" spans="6:11">
      <c r="F25">
        <v>202420251</v>
      </c>
      <c r="G25" s="104">
        <v>45564</v>
      </c>
      <c r="H25" s="104">
        <v>45366</v>
      </c>
    </row>
    <row r="26" spans="6:11">
      <c r="F26" s="94">
        <v>202420252</v>
      </c>
      <c r="G26" s="104">
        <v>45733</v>
      </c>
      <c r="H26" s="104">
        <v>45864</v>
      </c>
      <c r="K26" s="104">
        <v>45928</v>
      </c>
    </row>
    <row r="27" spans="6:11">
      <c r="F27" s="94">
        <v>202520261</v>
      </c>
      <c r="G27" s="104">
        <v>45921</v>
      </c>
      <c r="H27" s="104">
        <v>46088</v>
      </c>
    </row>
    <row r="28" spans="6:11">
      <c r="F28" s="94">
        <v>202520262</v>
      </c>
      <c r="G28" s="104">
        <v>46089</v>
      </c>
      <c r="H28" s="104">
        <v>46221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DATA_SURAT_PELANTIKAN</vt:lpstr>
      <vt:lpstr>KEKERAPAN </vt:lpstr>
      <vt:lpstr>Sheet1</vt:lpstr>
      <vt:lpstr>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00159B</dc:creator>
  <cp:lastModifiedBy>Admin</cp:lastModifiedBy>
  <dcterms:created xsi:type="dcterms:W3CDTF">2024-04-25T00:46:00Z</dcterms:created>
  <dcterms:modified xsi:type="dcterms:W3CDTF">2026-01-28T06:04:06Z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49DBDEC4676D4A3BA132F521EF2A9007_12</vt:lpwstr>
  </property>
  <property fmtid="{D5CDD505-2E9C-101B-9397-08002B2CF9AE}" pid="3" name="KSOProductBuildVer">
    <vt:lpwstr>1033-12.2.0.23155</vt:lpwstr>
  </property>
</Properties>
</file>